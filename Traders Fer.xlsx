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a6ddf883fb6f4aa/Documentos/Owner 19/documents/Autónomo/Projects/Traders/"/>
    </mc:Choice>
  </mc:AlternateContent>
  <xr:revisionPtr revIDLastSave="0" documentId="8_{39516ACA-3BA0-4A4E-9DE9-FD77D11516BD}" xr6:coauthVersionLast="47" xr6:coauthVersionMax="47" xr10:uidLastSave="{00000000-0000-0000-0000-000000000000}"/>
  <bookViews>
    <workbookView xWindow="-120" yWindow="-120" windowWidth="29040" windowHeight="15840" xr2:uid="{12844D72-8B1F-442B-A305-4E3AA44D39F7}"/>
  </bookViews>
  <sheets>
    <sheet name="Trading Ops" sheetId="11" r:id="rId1"/>
    <sheet name="Input" sheetId="12" r:id="rId2"/>
    <sheet name="Swing_Trading_TradingView" sheetId="13" r:id="rId3"/>
    <sheet name="tabla1" sheetId="14" r:id="rId4"/>
    <sheet name="Swing_82_PE_SL_TP" sheetId="15" r:id="rId5"/>
    <sheet name="Ranking Semanal" sheetId="16" r:id="rId6"/>
    <sheet name="Incoming" sheetId="17" r:id="rId7"/>
    <sheet name="Close dating +" sheetId="4" r:id="rId8"/>
    <sheet name="Close dating - (2)" sheetId="5" r:id="rId9"/>
    <sheet name="Close dating -" sheetId="6" r:id="rId10"/>
    <sheet name="Close All (2)" sheetId="7" r:id="rId11"/>
    <sheet name="Close All" sheetId="8" r:id="rId12"/>
    <sheet name="Close +" sheetId="9" r:id="rId13"/>
    <sheet name="Close -" sheetId="10" r:id="rId14"/>
    <sheet name="Open" sheetId="2" r:id="rId15"/>
    <sheet name="Close dating + (2)" sheetId="3" r:id="rId16"/>
    <sheet name="Plan" sheetId="1" r:id="rId17"/>
  </sheets>
  <externalReferences>
    <externalReference r:id="rId18"/>
  </externalReferences>
  <definedNames>
    <definedName name="_xlnm.Print_Area" localSheetId="5">'Ranking Semanal'!$L$4:$N$14</definedName>
    <definedName name="DataTable" comment="Entrada básica de datos">'Trading Ops'!$A$2:$AH$114</definedName>
    <definedName name="DataTrend">[1]Input!$K$2:$Q$84</definedName>
    <definedName name="EntradaDatos" comment="RAngo para meter quotations desde bolsa">[1]Input!$A$2:$G$84</definedName>
    <definedName name="Probabilidad">[1]Swing_Trading_TradingView!$I$1:$P$83</definedName>
  </definedNames>
  <calcPr calcId="191029"/>
  <pivotCaches>
    <pivotCache cacheId="22" r:id="rId19"/>
    <pivotCache cacheId="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7" i="17" l="1"/>
  <c r="X90" i="17" s="1"/>
  <c r="V87" i="17"/>
  <c r="V90" i="17" s="1"/>
  <c r="L87" i="17"/>
  <c r="L90" i="17" s="1"/>
  <c r="J87" i="17"/>
  <c r="J90" i="17" s="1"/>
  <c r="AE86" i="17"/>
  <c r="AE88" i="17" s="1"/>
  <c r="AD86" i="17"/>
  <c r="AD87" i="17" s="1"/>
  <c r="AC86" i="17"/>
  <c r="AC87" i="17" s="1"/>
  <c r="AB86" i="17"/>
  <c r="AB88" i="17" s="1"/>
  <c r="AA86" i="17"/>
  <c r="AA88" i="17" s="1"/>
  <c r="Z86" i="17"/>
  <c r="Z88" i="17" s="1"/>
  <c r="Y86" i="17"/>
  <c r="Y88" i="17" s="1"/>
  <c r="X86" i="17"/>
  <c r="X88" i="17" s="1"/>
  <c r="W86" i="17"/>
  <c r="W87" i="17" s="1"/>
  <c r="V86" i="17"/>
  <c r="V88" i="17" s="1"/>
  <c r="U86" i="17"/>
  <c r="U88" i="17" s="1"/>
  <c r="T86" i="17"/>
  <c r="U87" i="17" s="1"/>
  <c r="S86" i="17"/>
  <c r="S88" i="17" s="1"/>
  <c r="R86" i="17"/>
  <c r="R88" i="17" s="1"/>
  <c r="Q86" i="17"/>
  <c r="Q88" i="17" s="1"/>
  <c r="P86" i="17"/>
  <c r="P88" i="17" s="1"/>
  <c r="O86" i="17"/>
  <c r="O88" i="17" s="1"/>
  <c r="N86" i="17"/>
  <c r="N88" i="17" s="1"/>
  <c r="M86" i="17"/>
  <c r="M88" i="17" s="1"/>
  <c r="L86" i="17"/>
  <c r="L88" i="17" s="1"/>
  <c r="K86" i="17"/>
  <c r="K87" i="17" s="1"/>
  <c r="J86" i="17"/>
  <c r="J88" i="17" s="1"/>
  <c r="I86" i="17"/>
  <c r="I88" i="17" s="1"/>
  <c r="H86" i="17"/>
  <c r="I87" i="17" s="1"/>
  <c r="G86" i="17"/>
  <c r="G88" i="17" s="1"/>
  <c r="F86" i="17"/>
  <c r="F88" i="17" s="1"/>
  <c r="E86" i="17"/>
  <c r="E88" i="17" s="1"/>
  <c r="D86" i="17"/>
  <c r="AD88" i="17" s="1"/>
  <c r="C86" i="17"/>
  <c r="B84" i="17"/>
  <c r="A84" i="17"/>
  <c r="B83" i="17"/>
  <c r="A83" i="17"/>
  <c r="B82" i="17"/>
  <c r="A82" i="17"/>
  <c r="B81" i="17"/>
  <c r="A81" i="17"/>
  <c r="B80" i="17"/>
  <c r="A80" i="17"/>
  <c r="B79" i="17"/>
  <c r="A79" i="17"/>
  <c r="B78" i="17"/>
  <c r="A78" i="17"/>
  <c r="B77" i="17"/>
  <c r="A77" i="17"/>
  <c r="B76" i="17"/>
  <c r="A76" i="17"/>
  <c r="B75" i="17"/>
  <c r="A75" i="17"/>
  <c r="B74" i="17"/>
  <c r="A74" i="17"/>
  <c r="B73" i="17"/>
  <c r="A73" i="17"/>
  <c r="B72" i="17"/>
  <c r="A72" i="17"/>
  <c r="B71" i="17"/>
  <c r="A71" i="17"/>
  <c r="B70" i="17"/>
  <c r="A70" i="17"/>
  <c r="B69" i="17"/>
  <c r="A69" i="17"/>
  <c r="B68" i="17"/>
  <c r="A68" i="17"/>
  <c r="B67" i="17"/>
  <c r="A67" i="17"/>
  <c r="B66" i="17"/>
  <c r="A66" i="17"/>
  <c r="B65" i="17"/>
  <c r="A65" i="17"/>
  <c r="B64" i="17"/>
  <c r="A64" i="17"/>
  <c r="B63" i="17"/>
  <c r="A63" i="17"/>
  <c r="B62" i="17"/>
  <c r="A62" i="17"/>
  <c r="B61" i="17"/>
  <c r="A61" i="17"/>
  <c r="B60" i="17"/>
  <c r="A60" i="17"/>
  <c r="B59" i="17"/>
  <c r="A59" i="17"/>
  <c r="B58" i="17"/>
  <c r="A58" i="17"/>
  <c r="B57" i="17"/>
  <c r="A57" i="17"/>
  <c r="B56" i="17"/>
  <c r="A56" i="17"/>
  <c r="B55" i="17"/>
  <c r="A55" i="17"/>
  <c r="B54" i="17"/>
  <c r="A54" i="17"/>
  <c r="B53" i="17"/>
  <c r="A53" i="17"/>
  <c r="B52" i="17"/>
  <c r="A52" i="17"/>
  <c r="B51" i="17"/>
  <c r="A51" i="17"/>
  <c r="B50" i="17"/>
  <c r="A50" i="17"/>
  <c r="B49" i="17"/>
  <c r="A49" i="17"/>
  <c r="B48" i="17"/>
  <c r="A48" i="17"/>
  <c r="B47" i="17"/>
  <c r="A47" i="17"/>
  <c r="B46" i="17"/>
  <c r="A46" i="17"/>
  <c r="B45" i="17"/>
  <c r="A45" i="17"/>
  <c r="B44" i="17"/>
  <c r="A44" i="17"/>
  <c r="B43" i="17"/>
  <c r="A43" i="17"/>
  <c r="B42" i="17"/>
  <c r="A42" i="17"/>
  <c r="B41" i="17"/>
  <c r="A41" i="17"/>
  <c r="B40" i="17"/>
  <c r="A40" i="17"/>
  <c r="B39" i="17"/>
  <c r="A39" i="17"/>
  <c r="B38" i="17"/>
  <c r="A38" i="17"/>
  <c r="B37" i="17"/>
  <c r="A37" i="17"/>
  <c r="B36" i="17"/>
  <c r="A36" i="17"/>
  <c r="B35" i="17"/>
  <c r="A35" i="17"/>
  <c r="B34" i="17"/>
  <c r="A34" i="17"/>
  <c r="B33" i="17"/>
  <c r="A33" i="17"/>
  <c r="B32" i="17"/>
  <c r="A32" i="17"/>
  <c r="B31" i="17"/>
  <c r="A31" i="17"/>
  <c r="B30" i="17"/>
  <c r="A30" i="17"/>
  <c r="B29" i="17"/>
  <c r="A29" i="17"/>
  <c r="B28" i="17"/>
  <c r="A28" i="17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B4" i="17"/>
  <c r="A4" i="17"/>
  <c r="B3" i="17"/>
  <c r="A3" i="17"/>
  <c r="A101" i="12"/>
  <c r="CD95" i="12"/>
  <c r="CD96" i="12" s="1"/>
  <c r="CC95" i="12"/>
  <c r="CC96" i="12" s="1"/>
  <c r="CB95" i="12"/>
  <c r="CB96" i="12" s="1"/>
  <c r="CA95" i="12"/>
  <c r="CA96" i="12" s="1"/>
  <c r="BZ95" i="12"/>
  <c r="BZ96" i="12" s="1"/>
  <c r="BY95" i="12"/>
  <c r="BY96" i="12" s="1"/>
  <c r="BX95" i="12"/>
  <c r="BX96" i="12" s="1"/>
  <c r="BW95" i="12"/>
  <c r="BW96" i="12" s="1"/>
  <c r="BV95" i="12"/>
  <c r="BV96" i="12" s="1"/>
  <c r="BU95" i="12"/>
  <c r="BU96" i="12" s="1"/>
  <c r="BT95" i="12"/>
  <c r="BT96" i="12" s="1"/>
  <c r="BS95" i="12"/>
  <c r="BS96" i="12" s="1"/>
  <c r="BR95" i="12"/>
  <c r="BR96" i="12" s="1"/>
  <c r="BQ95" i="12"/>
  <c r="BQ96" i="12" s="1"/>
  <c r="BP95" i="12"/>
  <c r="BP96" i="12" s="1"/>
  <c r="BO95" i="12"/>
  <c r="BO96" i="12" s="1"/>
  <c r="BN95" i="12"/>
  <c r="BN96" i="12" s="1"/>
  <c r="BM95" i="12"/>
  <c r="BM96" i="12" s="1"/>
  <c r="BL95" i="12"/>
  <c r="BL96" i="12" s="1"/>
  <c r="BK95" i="12"/>
  <c r="BK96" i="12" s="1"/>
  <c r="BJ95" i="12"/>
  <c r="BJ96" i="12" s="1"/>
  <c r="BI95" i="12"/>
  <c r="BI96" i="12" s="1"/>
  <c r="BH95" i="12"/>
  <c r="BH96" i="12" s="1"/>
  <c r="BG95" i="12"/>
  <c r="BG96" i="12" s="1"/>
  <c r="BF95" i="12"/>
  <c r="BF96" i="12" s="1"/>
  <c r="BE95" i="12"/>
  <c r="BE96" i="12" s="1"/>
  <c r="BD95" i="12"/>
  <c r="BD96" i="12" s="1"/>
  <c r="BC95" i="12"/>
  <c r="BC96" i="12" s="1"/>
  <c r="BB95" i="12"/>
  <c r="BB96" i="12" s="1"/>
  <c r="BA95" i="12"/>
  <c r="BA96" i="12" s="1"/>
  <c r="AZ95" i="12"/>
  <c r="AZ96" i="12" s="1"/>
  <c r="AY95" i="12"/>
  <c r="AY96" i="12" s="1"/>
  <c r="AX95" i="12"/>
  <c r="AX96" i="12" s="1"/>
  <c r="AW95" i="12"/>
  <c r="AW96" i="12" s="1"/>
  <c r="AV95" i="12"/>
  <c r="AV96" i="12" s="1"/>
  <c r="AU95" i="12"/>
  <c r="AU96" i="12" s="1"/>
  <c r="AT95" i="12"/>
  <c r="AT96" i="12" s="1"/>
  <c r="AS95" i="12"/>
  <c r="AS96" i="12" s="1"/>
  <c r="AR95" i="12"/>
  <c r="AR96" i="12" s="1"/>
  <c r="AQ95" i="12"/>
  <c r="AQ96" i="12" s="1"/>
  <c r="AP95" i="12"/>
  <c r="AP96" i="12" s="1"/>
  <c r="AO95" i="12"/>
  <c r="AO96" i="12" s="1"/>
  <c r="AN95" i="12"/>
  <c r="AN96" i="12" s="1"/>
  <c r="AM95" i="12"/>
  <c r="AM96" i="12" s="1"/>
  <c r="AL95" i="12"/>
  <c r="AL96" i="12" s="1"/>
  <c r="AK95" i="12"/>
  <c r="AK96" i="12" s="1"/>
  <c r="AJ95" i="12"/>
  <c r="AJ96" i="12" s="1"/>
  <c r="AI95" i="12"/>
  <c r="AI96" i="12" s="1"/>
  <c r="AH95" i="12"/>
  <c r="AH96" i="12" s="1"/>
  <c r="AG95" i="12"/>
  <c r="AG96" i="12" s="1"/>
  <c r="AF95" i="12"/>
  <c r="AF96" i="12" s="1"/>
  <c r="AE95" i="12"/>
  <c r="AE96" i="12" s="1"/>
  <c r="AD95" i="12"/>
  <c r="AD96" i="12" s="1"/>
  <c r="AC95" i="12"/>
  <c r="AC96" i="12" s="1"/>
  <c r="AB95" i="12"/>
  <c r="AB96" i="12" s="1"/>
  <c r="AA95" i="12"/>
  <c r="AA96" i="12" s="1"/>
  <c r="Z95" i="12"/>
  <c r="Z96" i="12" s="1"/>
  <c r="Y95" i="12"/>
  <c r="Y96" i="12" s="1"/>
  <c r="X95" i="12"/>
  <c r="X96" i="12" s="1"/>
  <c r="W95" i="12"/>
  <c r="W96" i="12" s="1"/>
  <c r="V95" i="12"/>
  <c r="V96" i="12" s="1"/>
  <c r="U95" i="12"/>
  <c r="U96" i="12" s="1"/>
  <c r="T95" i="12"/>
  <c r="T96" i="12" s="1"/>
  <c r="S95" i="12"/>
  <c r="S96" i="12" s="1"/>
  <c r="R95" i="12"/>
  <c r="R96" i="12" s="1"/>
  <c r="Q95" i="12"/>
  <c r="Q96" i="12" s="1"/>
  <c r="P95" i="12"/>
  <c r="P96" i="12" s="1"/>
  <c r="O95" i="12"/>
  <c r="O96" i="12" s="1"/>
  <c r="N95" i="12"/>
  <c r="N96" i="12" s="1"/>
  <c r="M95" i="12"/>
  <c r="M96" i="12" s="1"/>
  <c r="L95" i="12"/>
  <c r="L96" i="12" s="1"/>
  <c r="K95" i="12"/>
  <c r="K96" i="12" s="1"/>
  <c r="J95" i="12"/>
  <c r="J96" i="12" s="1"/>
  <c r="I95" i="12"/>
  <c r="I96" i="12" s="1"/>
  <c r="H95" i="12"/>
  <c r="H96" i="12" s="1"/>
  <c r="G95" i="12"/>
  <c r="G96" i="12" s="1"/>
  <c r="F95" i="12"/>
  <c r="F96" i="12" s="1"/>
  <c r="E95" i="12"/>
  <c r="E96" i="12" s="1"/>
  <c r="D95" i="12"/>
  <c r="D96" i="12" s="1"/>
  <c r="C95" i="12"/>
  <c r="C96" i="12" s="1"/>
  <c r="B95" i="12"/>
  <c r="B96" i="12" s="1"/>
  <c r="A95" i="12"/>
  <c r="A96" i="12" s="1"/>
  <c r="CF94" i="12"/>
  <c r="CF93" i="12"/>
  <c r="CF92" i="12"/>
  <c r="K86" i="12"/>
  <c r="A86" i="12"/>
  <c r="Q84" i="12"/>
  <c r="P84" i="12"/>
  <c r="O84" i="12"/>
  <c r="N84" i="12"/>
  <c r="J84" i="12" s="1"/>
  <c r="M84" i="12"/>
  <c r="L84" i="12"/>
  <c r="I84" i="12"/>
  <c r="Q83" i="12"/>
  <c r="P83" i="12"/>
  <c r="O83" i="12"/>
  <c r="N83" i="12"/>
  <c r="L83" i="12" s="1"/>
  <c r="M83" i="12"/>
  <c r="Q82" i="12"/>
  <c r="P82" i="12"/>
  <c r="O82" i="12"/>
  <c r="N82" i="12"/>
  <c r="J82" i="12" s="1"/>
  <c r="M82" i="12"/>
  <c r="L82" i="12" s="1"/>
  <c r="Q81" i="12"/>
  <c r="P81" i="12"/>
  <c r="O81" i="12"/>
  <c r="N81" i="12"/>
  <c r="J81" i="12" s="1"/>
  <c r="M81" i="12"/>
  <c r="L81" i="12"/>
  <c r="I81" i="12"/>
  <c r="Q80" i="12"/>
  <c r="P80" i="12"/>
  <c r="O80" i="12"/>
  <c r="N80" i="12"/>
  <c r="L80" i="12" s="1"/>
  <c r="M80" i="12"/>
  <c r="Q79" i="12"/>
  <c r="P79" i="12"/>
  <c r="O79" i="12"/>
  <c r="N79" i="12"/>
  <c r="J79" i="12" s="1"/>
  <c r="M79" i="12"/>
  <c r="L79" i="12" s="1"/>
  <c r="Q78" i="12"/>
  <c r="P78" i="12"/>
  <c r="O78" i="12"/>
  <c r="N78" i="12"/>
  <c r="J78" i="12" s="1"/>
  <c r="M78" i="12"/>
  <c r="L78" i="12"/>
  <c r="I78" i="12"/>
  <c r="Q77" i="12"/>
  <c r="P77" i="12"/>
  <c r="O77" i="12"/>
  <c r="N77" i="12"/>
  <c r="L77" i="12" s="1"/>
  <c r="M77" i="12"/>
  <c r="Q76" i="12"/>
  <c r="P76" i="12"/>
  <c r="O76" i="12"/>
  <c r="N76" i="12"/>
  <c r="J76" i="12" s="1"/>
  <c r="M76" i="12"/>
  <c r="L76" i="12" s="1"/>
  <c r="Q75" i="12"/>
  <c r="P75" i="12"/>
  <c r="O75" i="12"/>
  <c r="N75" i="12"/>
  <c r="J75" i="12" s="1"/>
  <c r="M75" i="12"/>
  <c r="L75" i="12"/>
  <c r="I75" i="12"/>
  <c r="Q74" i="12"/>
  <c r="P74" i="12"/>
  <c r="O74" i="12"/>
  <c r="N74" i="12"/>
  <c r="L74" i="12" s="1"/>
  <c r="M74" i="12"/>
  <c r="Q73" i="12"/>
  <c r="P73" i="12"/>
  <c r="O73" i="12"/>
  <c r="N73" i="12"/>
  <c r="J73" i="12" s="1"/>
  <c r="M73" i="12"/>
  <c r="L73" i="12" s="1"/>
  <c r="Q72" i="12"/>
  <c r="P72" i="12"/>
  <c r="O72" i="12"/>
  <c r="N72" i="12"/>
  <c r="J72" i="12" s="1"/>
  <c r="M72" i="12"/>
  <c r="L72" i="12"/>
  <c r="I72" i="12"/>
  <c r="Q71" i="12"/>
  <c r="P71" i="12"/>
  <c r="O71" i="12"/>
  <c r="N71" i="12"/>
  <c r="L71" i="12" s="1"/>
  <c r="M71" i="12"/>
  <c r="Q70" i="12"/>
  <c r="P70" i="12"/>
  <c r="O70" i="12"/>
  <c r="N70" i="12"/>
  <c r="J70" i="12" s="1"/>
  <c r="M70" i="12"/>
  <c r="L70" i="12" s="1"/>
  <c r="Q69" i="12"/>
  <c r="P69" i="12"/>
  <c r="O69" i="12"/>
  <c r="N69" i="12"/>
  <c r="J69" i="12" s="1"/>
  <c r="M69" i="12"/>
  <c r="L69" i="12"/>
  <c r="I69" i="12"/>
  <c r="Q68" i="12"/>
  <c r="P68" i="12"/>
  <c r="O68" i="12"/>
  <c r="N68" i="12"/>
  <c r="L68" i="12" s="1"/>
  <c r="M68" i="12"/>
  <c r="Q67" i="12"/>
  <c r="P67" i="12"/>
  <c r="O67" i="12"/>
  <c r="N67" i="12"/>
  <c r="J67" i="12" s="1"/>
  <c r="M67" i="12"/>
  <c r="L67" i="12" s="1"/>
  <c r="Q66" i="12"/>
  <c r="P66" i="12"/>
  <c r="O66" i="12"/>
  <c r="N66" i="12"/>
  <c r="J66" i="12" s="1"/>
  <c r="M66" i="12"/>
  <c r="L66" i="12"/>
  <c r="I66" i="12"/>
  <c r="Q65" i="12"/>
  <c r="P65" i="12"/>
  <c r="O65" i="12"/>
  <c r="N65" i="12"/>
  <c r="L65" i="12" s="1"/>
  <c r="M65" i="12"/>
  <c r="Q64" i="12"/>
  <c r="P64" i="12"/>
  <c r="O64" i="12"/>
  <c r="N64" i="12"/>
  <c r="J64" i="12" s="1"/>
  <c r="M64" i="12"/>
  <c r="L64" i="12" s="1"/>
  <c r="Q63" i="12"/>
  <c r="P63" i="12"/>
  <c r="O63" i="12"/>
  <c r="N63" i="12"/>
  <c r="J63" i="12" s="1"/>
  <c r="M63" i="12"/>
  <c r="L63" i="12"/>
  <c r="I63" i="12"/>
  <c r="Q62" i="12"/>
  <c r="P62" i="12"/>
  <c r="O62" i="12"/>
  <c r="N62" i="12"/>
  <c r="L62" i="12" s="1"/>
  <c r="M62" i="12"/>
  <c r="Q61" i="12"/>
  <c r="P61" i="12"/>
  <c r="O61" i="12"/>
  <c r="N61" i="12"/>
  <c r="J61" i="12" s="1"/>
  <c r="M61" i="12"/>
  <c r="L61" i="12" s="1"/>
  <c r="Q60" i="12"/>
  <c r="P60" i="12"/>
  <c r="O60" i="12"/>
  <c r="N60" i="12"/>
  <c r="J60" i="12" s="1"/>
  <c r="M60" i="12"/>
  <c r="L60" i="12"/>
  <c r="I60" i="12"/>
  <c r="Q59" i="12"/>
  <c r="P59" i="12"/>
  <c r="O59" i="12"/>
  <c r="N59" i="12"/>
  <c r="L59" i="12" s="1"/>
  <c r="M59" i="12"/>
  <c r="Q58" i="12"/>
  <c r="P58" i="12"/>
  <c r="O58" i="12"/>
  <c r="N58" i="12"/>
  <c r="J58" i="12" s="1"/>
  <c r="M58" i="12"/>
  <c r="L58" i="12" s="1"/>
  <c r="Q57" i="12"/>
  <c r="P57" i="12"/>
  <c r="O57" i="12"/>
  <c r="N57" i="12"/>
  <c r="J57" i="12" s="1"/>
  <c r="M57" i="12"/>
  <c r="L57" i="12"/>
  <c r="I57" i="12"/>
  <c r="Q56" i="12"/>
  <c r="P56" i="12"/>
  <c r="O56" i="12"/>
  <c r="N56" i="12"/>
  <c r="L56" i="12" s="1"/>
  <c r="M56" i="12"/>
  <c r="Q55" i="12"/>
  <c r="P55" i="12"/>
  <c r="O55" i="12"/>
  <c r="N55" i="12"/>
  <c r="J55" i="12" s="1"/>
  <c r="M55" i="12"/>
  <c r="L55" i="12" s="1"/>
  <c r="Q54" i="12"/>
  <c r="P54" i="12"/>
  <c r="O54" i="12"/>
  <c r="N54" i="12"/>
  <c r="J54" i="12" s="1"/>
  <c r="M54" i="12"/>
  <c r="L54" i="12"/>
  <c r="I54" i="12"/>
  <c r="Q53" i="12"/>
  <c r="P53" i="12"/>
  <c r="O53" i="12"/>
  <c r="N53" i="12"/>
  <c r="L53" i="12" s="1"/>
  <c r="M53" i="12"/>
  <c r="Q52" i="12"/>
  <c r="P52" i="12"/>
  <c r="O52" i="12"/>
  <c r="N52" i="12"/>
  <c r="J52" i="12" s="1"/>
  <c r="M52" i="12"/>
  <c r="L52" i="12" s="1"/>
  <c r="Q51" i="12"/>
  <c r="P51" i="12"/>
  <c r="O51" i="12"/>
  <c r="N51" i="12"/>
  <c r="J51" i="12" s="1"/>
  <c r="M51" i="12"/>
  <c r="L51" i="12"/>
  <c r="I51" i="12"/>
  <c r="Q50" i="12"/>
  <c r="P50" i="12"/>
  <c r="O50" i="12"/>
  <c r="N50" i="12"/>
  <c r="L50" i="12" s="1"/>
  <c r="M50" i="12"/>
  <c r="Q49" i="12"/>
  <c r="P49" i="12"/>
  <c r="O49" i="12"/>
  <c r="N49" i="12"/>
  <c r="J49" i="12" s="1"/>
  <c r="M49" i="12"/>
  <c r="L49" i="12" s="1"/>
  <c r="Q48" i="12"/>
  <c r="P48" i="12"/>
  <c r="O48" i="12"/>
  <c r="N48" i="12"/>
  <c r="J48" i="12" s="1"/>
  <c r="M48" i="12"/>
  <c r="L48" i="12"/>
  <c r="I48" i="12"/>
  <c r="Q47" i="12"/>
  <c r="P47" i="12"/>
  <c r="O47" i="12"/>
  <c r="N47" i="12"/>
  <c r="L47" i="12" s="1"/>
  <c r="M47" i="12"/>
  <c r="Q46" i="12"/>
  <c r="P46" i="12"/>
  <c r="O46" i="12"/>
  <c r="N46" i="12"/>
  <c r="J46" i="12" s="1"/>
  <c r="M46" i="12"/>
  <c r="L46" i="12" s="1"/>
  <c r="Q45" i="12"/>
  <c r="P45" i="12"/>
  <c r="O45" i="12"/>
  <c r="N45" i="12"/>
  <c r="J45" i="12" s="1"/>
  <c r="M45" i="12"/>
  <c r="L45" i="12"/>
  <c r="I45" i="12"/>
  <c r="Q44" i="12"/>
  <c r="P44" i="12"/>
  <c r="O44" i="12"/>
  <c r="N44" i="12"/>
  <c r="L44" i="12" s="1"/>
  <c r="M44" i="12"/>
  <c r="Q43" i="12"/>
  <c r="P43" i="12"/>
  <c r="O43" i="12"/>
  <c r="N43" i="12"/>
  <c r="J43" i="12" s="1"/>
  <c r="M43" i="12"/>
  <c r="L43" i="12" s="1"/>
  <c r="Q42" i="12"/>
  <c r="P42" i="12"/>
  <c r="O42" i="12"/>
  <c r="N42" i="12"/>
  <c r="J42" i="12" s="1"/>
  <c r="M42" i="12"/>
  <c r="L42" i="12"/>
  <c r="I42" i="12"/>
  <c r="Q41" i="12"/>
  <c r="P41" i="12"/>
  <c r="O41" i="12"/>
  <c r="N41" i="12"/>
  <c r="L41" i="12" s="1"/>
  <c r="M41" i="12"/>
  <c r="Q40" i="12"/>
  <c r="P40" i="12"/>
  <c r="O40" i="12"/>
  <c r="N40" i="12"/>
  <c r="J40" i="12" s="1"/>
  <c r="M40" i="12"/>
  <c r="L40" i="12" s="1"/>
  <c r="Q39" i="12"/>
  <c r="P39" i="12"/>
  <c r="O39" i="12"/>
  <c r="N39" i="12"/>
  <c r="J39" i="12" s="1"/>
  <c r="M39" i="12"/>
  <c r="L39" i="12"/>
  <c r="I39" i="12"/>
  <c r="Q38" i="12"/>
  <c r="P38" i="12"/>
  <c r="O38" i="12"/>
  <c r="N38" i="12"/>
  <c r="L38" i="12" s="1"/>
  <c r="M38" i="12"/>
  <c r="Q37" i="12"/>
  <c r="P37" i="12"/>
  <c r="O37" i="12"/>
  <c r="N37" i="12"/>
  <c r="J37" i="12" s="1"/>
  <c r="M37" i="12"/>
  <c r="L37" i="12" s="1"/>
  <c r="Q36" i="12"/>
  <c r="P36" i="12"/>
  <c r="O36" i="12"/>
  <c r="N36" i="12"/>
  <c r="J36" i="12" s="1"/>
  <c r="M36" i="12"/>
  <c r="L36" i="12"/>
  <c r="I36" i="12"/>
  <c r="Q35" i="12"/>
  <c r="P35" i="12"/>
  <c r="O35" i="12"/>
  <c r="N35" i="12"/>
  <c r="L35" i="12" s="1"/>
  <c r="M35" i="12"/>
  <c r="Q34" i="12"/>
  <c r="P34" i="12"/>
  <c r="O34" i="12"/>
  <c r="N34" i="12"/>
  <c r="J34" i="12" s="1"/>
  <c r="M34" i="12"/>
  <c r="L34" i="12" s="1"/>
  <c r="Q33" i="12"/>
  <c r="P33" i="12"/>
  <c r="O33" i="12"/>
  <c r="N33" i="12"/>
  <c r="J33" i="12" s="1"/>
  <c r="M33" i="12"/>
  <c r="L33" i="12"/>
  <c r="I33" i="12"/>
  <c r="Q32" i="12"/>
  <c r="P32" i="12"/>
  <c r="O32" i="12"/>
  <c r="N32" i="12"/>
  <c r="L32" i="12" s="1"/>
  <c r="M32" i="12"/>
  <c r="Q31" i="12"/>
  <c r="P31" i="12"/>
  <c r="O31" i="12"/>
  <c r="N31" i="12"/>
  <c r="J31" i="12" s="1"/>
  <c r="M31" i="12"/>
  <c r="L31" i="12" s="1"/>
  <c r="Q30" i="12"/>
  <c r="P30" i="12"/>
  <c r="O30" i="12"/>
  <c r="N30" i="12"/>
  <c r="J30" i="12" s="1"/>
  <c r="M30" i="12"/>
  <c r="L30" i="12"/>
  <c r="I30" i="12"/>
  <c r="Q29" i="12"/>
  <c r="P29" i="12"/>
  <c r="O29" i="12"/>
  <c r="N29" i="12"/>
  <c r="L29" i="12" s="1"/>
  <c r="M29" i="12"/>
  <c r="Q28" i="12"/>
  <c r="P28" i="12"/>
  <c r="O28" i="12"/>
  <c r="N28" i="12"/>
  <c r="J28" i="12" s="1"/>
  <c r="M28" i="12"/>
  <c r="L28" i="12" s="1"/>
  <c r="Q27" i="12"/>
  <c r="P27" i="12"/>
  <c r="O27" i="12"/>
  <c r="N27" i="12"/>
  <c r="J27" i="12" s="1"/>
  <c r="M27" i="12"/>
  <c r="L27" i="12"/>
  <c r="I27" i="12"/>
  <c r="Q26" i="12"/>
  <c r="P26" i="12"/>
  <c r="O26" i="12"/>
  <c r="N26" i="12"/>
  <c r="L26" i="12" s="1"/>
  <c r="M26" i="12"/>
  <c r="Q25" i="12"/>
  <c r="P25" i="12"/>
  <c r="O25" i="12"/>
  <c r="N25" i="12"/>
  <c r="J25" i="12" s="1"/>
  <c r="M25" i="12"/>
  <c r="L25" i="12" s="1"/>
  <c r="Q24" i="12"/>
  <c r="P24" i="12"/>
  <c r="O24" i="12"/>
  <c r="N24" i="12"/>
  <c r="J24" i="12" s="1"/>
  <c r="M24" i="12"/>
  <c r="L24" i="12"/>
  <c r="I24" i="12"/>
  <c r="Q23" i="12"/>
  <c r="P23" i="12"/>
  <c r="O23" i="12"/>
  <c r="N23" i="12"/>
  <c r="L23" i="12" s="1"/>
  <c r="M23" i="12"/>
  <c r="Q22" i="12"/>
  <c r="P22" i="12"/>
  <c r="O22" i="12"/>
  <c r="N22" i="12"/>
  <c r="J22" i="12" s="1"/>
  <c r="M22" i="12"/>
  <c r="L22" i="12" s="1"/>
  <c r="Q21" i="12"/>
  <c r="P21" i="12"/>
  <c r="O21" i="12"/>
  <c r="N21" i="12"/>
  <c r="J21" i="12" s="1"/>
  <c r="M21" i="12"/>
  <c r="L21" i="12"/>
  <c r="I21" i="12"/>
  <c r="Q20" i="12"/>
  <c r="P20" i="12"/>
  <c r="O20" i="12"/>
  <c r="N20" i="12"/>
  <c r="L20" i="12" s="1"/>
  <c r="M20" i="12"/>
  <c r="Q19" i="12"/>
  <c r="P19" i="12"/>
  <c r="O19" i="12"/>
  <c r="N19" i="12"/>
  <c r="J19" i="12" s="1"/>
  <c r="M19" i="12"/>
  <c r="L19" i="12" s="1"/>
  <c r="Q18" i="12"/>
  <c r="P18" i="12"/>
  <c r="O18" i="12"/>
  <c r="N18" i="12"/>
  <c r="J18" i="12" s="1"/>
  <c r="M18" i="12"/>
  <c r="L18" i="12"/>
  <c r="I18" i="12"/>
  <c r="Q17" i="12"/>
  <c r="P17" i="12"/>
  <c r="O17" i="12"/>
  <c r="N17" i="12"/>
  <c r="L17" i="12" s="1"/>
  <c r="M17" i="12"/>
  <c r="Q16" i="12"/>
  <c r="P16" i="12"/>
  <c r="O16" i="12"/>
  <c r="N16" i="12"/>
  <c r="J16" i="12" s="1"/>
  <c r="M16" i="12"/>
  <c r="L16" i="12" s="1"/>
  <c r="Q15" i="12"/>
  <c r="P15" i="12"/>
  <c r="O15" i="12"/>
  <c r="N15" i="12"/>
  <c r="J15" i="12" s="1"/>
  <c r="M15" i="12"/>
  <c r="L15" i="12"/>
  <c r="I15" i="12"/>
  <c r="Q14" i="12"/>
  <c r="P14" i="12"/>
  <c r="O14" i="12"/>
  <c r="N14" i="12"/>
  <c r="L14" i="12" s="1"/>
  <c r="M14" i="12"/>
  <c r="Q13" i="12"/>
  <c r="P13" i="12"/>
  <c r="O13" i="12"/>
  <c r="N13" i="12"/>
  <c r="J13" i="12" s="1"/>
  <c r="M13" i="12"/>
  <c r="L13" i="12" s="1"/>
  <c r="Q12" i="12"/>
  <c r="P12" i="12"/>
  <c r="O12" i="12"/>
  <c r="N12" i="12"/>
  <c r="J12" i="12" s="1"/>
  <c r="M12" i="12"/>
  <c r="L12" i="12"/>
  <c r="I12" i="12"/>
  <c r="Q11" i="12"/>
  <c r="P11" i="12"/>
  <c r="O11" i="12"/>
  <c r="N11" i="12"/>
  <c r="L11" i="12" s="1"/>
  <c r="M11" i="12"/>
  <c r="Q10" i="12"/>
  <c r="P10" i="12"/>
  <c r="O10" i="12"/>
  <c r="N10" i="12"/>
  <c r="J10" i="12" s="1"/>
  <c r="M10" i="12"/>
  <c r="L10" i="12" s="1"/>
  <c r="Q9" i="12"/>
  <c r="P9" i="12"/>
  <c r="O9" i="12"/>
  <c r="N9" i="12"/>
  <c r="J9" i="12" s="1"/>
  <c r="M9" i="12"/>
  <c r="L9" i="12"/>
  <c r="I9" i="12"/>
  <c r="Q8" i="12"/>
  <c r="P8" i="12"/>
  <c r="O8" i="12"/>
  <c r="N8" i="12"/>
  <c r="L8" i="12" s="1"/>
  <c r="M8" i="12"/>
  <c r="Q7" i="12"/>
  <c r="P7" i="12"/>
  <c r="O7" i="12"/>
  <c r="N7" i="12"/>
  <c r="J7" i="12" s="1"/>
  <c r="M7" i="12"/>
  <c r="L7" i="12" s="1"/>
  <c r="Q6" i="12"/>
  <c r="P6" i="12"/>
  <c r="O6" i="12"/>
  <c r="N6" i="12"/>
  <c r="J6" i="12" s="1"/>
  <c r="M6" i="12"/>
  <c r="L6" i="12"/>
  <c r="I6" i="12"/>
  <c r="Q5" i="12"/>
  <c r="P5" i="12"/>
  <c r="O5" i="12"/>
  <c r="N5" i="12"/>
  <c r="L5" i="12" s="1"/>
  <c r="M5" i="12"/>
  <c r="Q4" i="12"/>
  <c r="P4" i="12"/>
  <c r="O4" i="12"/>
  <c r="N4" i="12"/>
  <c r="N86" i="12" s="1"/>
  <c r="M4" i="12"/>
  <c r="L4" i="12" s="1"/>
  <c r="Q3" i="12"/>
  <c r="Q86" i="12" s="1"/>
  <c r="P3" i="12"/>
  <c r="P86" i="12" s="1"/>
  <c r="O3" i="12"/>
  <c r="O86" i="12" s="1"/>
  <c r="N3" i="12"/>
  <c r="J3" i="12" s="1"/>
  <c r="M3" i="12"/>
  <c r="M86" i="12" s="1"/>
  <c r="L3" i="12"/>
  <c r="I3" i="12"/>
  <c r="D130" i="11"/>
  <c r="I124" i="11" s="1"/>
  <c r="D129" i="11"/>
  <c r="D133" i="11" s="1"/>
  <c r="I127" i="11"/>
  <c r="H127" i="11"/>
  <c r="D125" i="11"/>
  <c r="H124" i="11"/>
  <c r="B118" i="11"/>
  <c r="T117" i="11"/>
  <c r="T118" i="11" s="1"/>
  <c r="N117" i="11"/>
  <c r="N118" i="11" s="1"/>
  <c r="O118" i="11" s="1"/>
  <c r="N119" i="11" s="1"/>
  <c r="E117" i="11"/>
  <c r="E118" i="11" s="1"/>
  <c r="B117" i="11"/>
  <c r="AH116" i="11"/>
  <c r="AC116" i="11"/>
  <c r="Y116" i="11"/>
  <c r="E116" i="11"/>
  <c r="B116" i="11"/>
  <c r="B120" i="11" s="1"/>
  <c r="T115" i="11"/>
  <c r="T116" i="11" s="1"/>
  <c r="N115" i="11"/>
  <c r="H115" i="11"/>
  <c r="E115" i="11"/>
  <c r="B115" i="11"/>
  <c r="A115" i="11"/>
  <c r="AH114" i="11"/>
  <c r="AG114" i="11" s="1"/>
  <c r="AE114" i="11"/>
  <c r="AC114" i="11"/>
  <c r="AB114" i="11"/>
  <c r="AA114" i="11"/>
  <c r="AD114" i="11" s="1"/>
  <c r="Z114" i="11"/>
  <c r="Y114" i="11"/>
  <c r="X114" i="11"/>
  <c r="W114" i="11"/>
  <c r="V114" i="11"/>
  <c r="U114" i="11"/>
  <c r="R114" i="11"/>
  <c r="S114" i="11" s="1"/>
  <c r="P114" i="11"/>
  <c r="Q114" i="11" s="1"/>
  <c r="O114" i="11"/>
  <c r="I114" i="11"/>
  <c r="G114" i="11"/>
  <c r="D114" i="11"/>
  <c r="C114" i="11"/>
  <c r="AH113" i="11"/>
  <c r="AG113" i="11"/>
  <c r="AF113" i="11"/>
  <c r="AE113" i="11"/>
  <c r="AD113" i="11"/>
  <c r="AC113" i="11"/>
  <c r="AB113" i="11"/>
  <c r="X113" i="11"/>
  <c r="W113" i="11"/>
  <c r="V113" i="11"/>
  <c r="U113" i="11"/>
  <c r="S113" i="11"/>
  <c r="R113" i="11"/>
  <c r="P113" i="11"/>
  <c r="Q113" i="11" s="1"/>
  <c r="O113" i="11"/>
  <c r="I113" i="11"/>
  <c r="G113" i="11"/>
  <c r="D113" i="11"/>
  <c r="C113" i="11"/>
  <c r="AH112" i="11"/>
  <c r="AG112" i="11" s="1"/>
  <c r="AE112" i="11"/>
  <c r="AF112" i="11" s="1"/>
  <c r="AD112" i="11"/>
  <c r="AC112" i="11"/>
  <c r="AB112" i="11"/>
  <c r="AA112" i="11"/>
  <c r="Y112" i="11"/>
  <c r="X112" i="11"/>
  <c r="W112" i="11"/>
  <c r="V112" i="11"/>
  <c r="U112" i="11"/>
  <c r="S112" i="11"/>
  <c r="R112" i="11"/>
  <c r="Z112" i="11" s="1"/>
  <c r="Q112" i="11"/>
  <c r="P112" i="11"/>
  <c r="O112" i="11"/>
  <c r="I112" i="11"/>
  <c r="G112" i="11"/>
  <c r="D112" i="11"/>
  <c r="C112" i="11"/>
  <c r="AH111" i="11"/>
  <c r="AG111" i="11" s="1"/>
  <c r="AF111" i="11"/>
  <c r="AE111" i="11"/>
  <c r="AD111" i="11"/>
  <c r="AC111" i="11"/>
  <c r="AB111" i="11"/>
  <c r="X111" i="11"/>
  <c r="Z111" i="11" s="1"/>
  <c r="W111" i="11"/>
  <c r="V111" i="11"/>
  <c r="U111" i="11"/>
  <c r="S111" i="11"/>
  <c r="R111" i="11"/>
  <c r="Q111" i="11"/>
  <c r="P111" i="11"/>
  <c r="O111" i="11"/>
  <c r="I111" i="11"/>
  <c r="G111" i="11"/>
  <c r="D111" i="11"/>
  <c r="C111" i="11"/>
  <c r="AE110" i="11"/>
  <c r="AC110" i="11"/>
  <c r="AB110" i="11"/>
  <c r="AA110" i="11"/>
  <c r="AH110" i="11" s="1"/>
  <c r="AG110" i="11" s="1"/>
  <c r="Y110" i="11"/>
  <c r="X110" i="11"/>
  <c r="Z110" i="11" s="1"/>
  <c r="W110" i="11"/>
  <c r="V110" i="11"/>
  <c r="U110" i="11"/>
  <c r="S110" i="11"/>
  <c r="R110" i="11"/>
  <c r="P110" i="11"/>
  <c r="Q110" i="11" s="1"/>
  <c r="O110" i="11"/>
  <c r="I110" i="11"/>
  <c r="G110" i="11"/>
  <c r="D110" i="11"/>
  <c r="C110" i="11"/>
  <c r="AH109" i="11"/>
  <c r="AG109" i="11" s="1"/>
  <c r="AF109" i="11"/>
  <c r="AE109" i="11"/>
  <c r="AD109" i="11"/>
  <c r="AC109" i="11"/>
  <c r="AB109" i="11"/>
  <c r="Z109" i="11"/>
  <c r="Y109" i="11"/>
  <c r="X109" i="11"/>
  <c r="W109" i="11"/>
  <c r="V109" i="11"/>
  <c r="U109" i="11"/>
  <c r="S109" i="11"/>
  <c r="R109" i="11"/>
  <c r="Q109" i="11"/>
  <c r="P109" i="11"/>
  <c r="O109" i="11"/>
  <c r="I109" i="11"/>
  <c r="G109" i="11"/>
  <c r="D109" i="11"/>
  <c r="C109" i="11"/>
  <c r="AH108" i="11"/>
  <c r="AG108" i="11" s="1"/>
  <c r="AF108" i="11"/>
  <c r="AE108" i="11"/>
  <c r="AD108" i="11"/>
  <c r="AC108" i="11"/>
  <c r="AB108" i="11"/>
  <c r="AA108" i="11"/>
  <c r="Z108" i="11"/>
  <c r="Y108" i="11"/>
  <c r="X108" i="11"/>
  <c r="V108" i="11"/>
  <c r="W108" i="11" s="1"/>
  <c r="U108" i="11"/>
  <c r="S108" i="11"/>
  <c r="R108" i="11"/>
  <c r="P108" i="11"/>
  <c r="Q108" i="11" s="1"/>
  <c r="O108" i="11"/>
  <c r="I108" i="11"/>
  <c r="G108" i="11"/>
  <c r="D108" i="11"/>
  <c r="C108" i="11"/>
  <c r="AH107" i="11"/>
  <c r="AG107" i="11"/>
  <c r="AE107" i="11"/>
  <c r="AB107" i="11"/>
  <c r="AA107" i="11"/>
  <c r="AD107" i="11" s="1"/>
  <c r="X107" i="11"/>
  <c r="Z107" i="11" s="1"/>
  <c r="W107" i="11"/>
  <c r="V107" i="11"/>
  <c r="U107" i="11"/>
  <c r="R107" i="11"/>
  <c r="S107" i="11" s="1"/>
  <c r="Q107" i="11"/>
  <c r="P107" i="11"/>
  <c r="O107" i="11"/>
  <c r="I107" i="11"/>
  <c r="G107" i="11"/>
  <c r="D107" i="11"/>
  <c r="C107" i="11"/>
  <c r="AC106" i="11"/>
  <c r="AB106" i="11"/>
  <c r="AA106" i="11"/>
  <c r="X106" i="11"/>
  <c r="W106" i="11"/>
  <c r="V106" i="11"/>
  <c r="U106" i="11"/>
  <c r="S106" i="11"/>
  <c r="R106" i="11"/>
  <c r="Q106" i="11"/>
  <c r="P106" i="11"/>
  <c r="O106" i="11"/>
  <c r="I106" i="11"/>
  <c r="G106" i="11"/>
  <c r="D106" i="11"/>
  <c r="C106" i="11"/>
  <c r="AH105" i="11"/>
  <c r="AG105" i="11" s="1"/>
  <c r="AF105" i="11"/>
  <c r="AE105" i="11"/>
  <c r="AD105" i="11"/>
  <c r="AC105" i="11"/>
  <c r="AB105" i="11"/>
  <c r="Y105" i="11"/>
  <c r="X105" i="11"/>
  <c r="Z105" i="11" s="1"/>
  <c r="V105" i="11"/>
  <c r="W105" i="11" s="1"/>
  <c r="U105" i="11"/>
  <c r="S105" i="11"/>
  <c r="R105" i="11"/>
  <c r="Q105" i="11"/>
  <c r="P105" i="11"/>
  <c r="O105" i="11"/>
  <c r="I105" i="11"/>
  <c r="G105" i="11"/>
  <c r="D105" i="11"/>
  <c r="C105" i="11"/>
  <c r="AH104" i="11"/>
  <c r="AG104" i="11"/>
  <c r="AF104" i="11"/>
  <c r="AE104" i="11"/>
  <c r="AD104" i="11"/>
  <c r="AC104" i="11"/>
  <c r="AB104" i="11"/>
  <c r="Y104" i="11"/>
  <c r="X104" i="11"/>
  <c r="W104" i="11"/>
  <c r="V104" i="11"/>
  <c r="U104" i="11"/>
  <c r="S104" i="11"/>
  <c r="R104" i="11"/>
  <c r="Z104" i="11" s="1"/>
  <c r="Q104" i="11"/>
  <c r="P104" i="11"/>
  <c r="O104" i="11"/>
  <c r="I104" i="11"/>
  <c r="G104" i="11"/>
  <c r="D104" i="11"/>
  <c r="C104" i="11"/>
  <c r="AH103" i="11"/>
  <c r="AG103" i="11" s="1"/>
  <c r="AE103" i="11"/>
  <c r="AD103" i="11"/>
  <c r="AC103" i="11"/>
  <c r="AB103" i="11"/>
  <c r="AA103" i="11"/>
  <c r="Y103" i="11"/>
  <c r="X103" i="11"/>
  <c r="Z103" i="11" s="1"/>
  <c r="V103" i="11"/>
  <c r="W103" i="11" s="1"/>
  <c r="U103" i="11"/>
  <c r="R103" i="11"/>
  <c r="S103" i="11" s="1"/>
  <c r="Q103" i="11"/>
  <c r="P103" i="11"/>
  <c r="O103" i="11"/>
  <c r="I103" i="11"/>
  <c r="G103" i="11"/>
  <c r="D103" i="11"/>
  <c r="C103" i="11"/>
  <c r="AH102" i="11"/>
  <c r="AG102" i="11"/>
  <c r="AD102" i="11"/>
  <c r="AC102" i="11"/>
  <c r="AB102" i="11"/>
  <c r="AA102" i="11"/>
  <c r="AE102" i="11" s="1"/>
  <c r="AF102" i="11" s="1"/>
  <c r="Z102" i="11"/>
  <c r="X102" i="11"/>
  <c r="Y102" i="11" s="1"/>
  <c r="W102" i="11"/>
  <c r="V102" i="11"/>
  <c r="U102" i="11"/>
  <c r="S102" i="11"/>
  <c r="R102" i="11"/>
  <c r="Q102" i="11"/>
  <c r="P102" i="11"/>
  <c r="O102" i="11"/>
  <c r="I102" i="11"/>
  <c r="G102" i="11"/>
  <c r="D102" i="11"/>
  <c r="C102" i="11"/>
  <c r="AE101" i="11"/>
  <c r="AC101" i="11"/>
  <c r="AB101" i="11"/>
  <c r="AA101" i="11"/>
  <c r="AH101" i="11" s="1"/>
  <c r="AG101" i="11" s="1"/>
  <c r="Y101" i="11"/>
  <c r="X101" i="11"/>
  <c r="Z101" i="11" s="1"/>
  <c r="W101" i="11"/>
  <c r="V101" i="11"/>
  <c r="U101" i="11"/>
  <c r="S101" i="11"/>
  <c r="R101" i="11"/>
  <c r="P101" i="11"/>
  <c r="Q101" i="11" s="1"/>
  <c r="O101" i="11"/>
  <c r="I101" i="11"/>
  <c r="G101" i="11"/>
  <c r="D101" i="11"/>
  <c r="C101" i="11"/>
  <c r="AH100" i="11"/>
  <c r="AG100" i="11" s="1"/>
  <c r="AB100" i="11"/>
  <c r="AA100" i="11"/>
  <c r="X100" i="11"/>
  <c r="Y100" i="11" s="1"/>
  <c r="V100" i="11"/>
  <c r="W100" i="11" s="1"/>
  <c r="U100" i="11"/>
  <c r="R100" i="11"/>
  <c r="S100" i="11" s="1"/>
  <c r="Q100" i="11"/>
  <c r="P100" i="11"/>
  <c r="O100" i="11"/>
  <c r="I100" i="11"/>
  <c r="G100" i="11"/>
  <c r="D100" i="11"/>
  <c r="C100" i="11"/>
  <c r="AH99" i="11"/>
  <c r="AG99" i="11"/>
  <c r="AD99" i="11"/>
  <c r="AB99" i="11"/>
  <c r="AA99" i="11"/>
  <c r="Z99" i="11"/>
  <c r="Y99" i="11"/>
  <c r="X99" i="11"/>
  <c r="W99" i="11"/>
  <c r="V99" i="11"/>
  <c r="U99" i="11"/>
  <c r="S99" i="11"/>
  <c r="R99" i="11"/>
  <c r="Q99" i="11"/>
  <c r="P99" i="11"/>
  <c r="O99" i="11"/>
  <c r="I99" i="11"/>
  <c r="G99" i="11"/>
  <c r="D99" i="11"/>
  <c r="C99" i="11"/>
  <c r="AH98" i="11"/>
  <c r="AG98" i="11" s="1"/>
  <c r="AF98" i="11"/>
  <c r="AE98" i="11"/>
  <c r="AD98" i="11"/>
  <c r="AC98" i="11"/>
  <c r="AB98" i="11"/>
  <c r="AA98" i="11"/>
  <c r="Z98" i="11"/>
  <c r="Y98" i="11"/>
  <c r="X98" i="11"/>
  <c r="V98" i="11"/>
  <c r="W98" i="11" s="1"/>
  <c r="U98" i="11"/>
  <c r="S98" i="11"/>
  <c r="R98" i="11"/>
  <c r="P98" i="11"/>
  <c r="Q98" i="11" s="1"/>
  <c r="O98" i="11"/>
  <c r="I98" i="11"/>
  <c r="G98" i="11"/>
  <c r="D98" i="11"/>
  <c r="C98" i="11"/>
  <c r="AH97" i="11"/>
  <c r="AG97" i="11"/>
  <c r="AF97" i="11"/>
  <c r="AE97" i="11"/>
  <c r="AD97" i="11"/>
  <c r="AC97" i="11"/>
  <c r="AB97" i="11"/>
  <c r="X97" i="11"/>
  <c r="W97" i="11"/>
  <c r="V97" i="11"/>
  <c r="U97" i="11"/>
  <c r="S97" i="11"/>
  <c r="R97" i="11"/>
  <c r="Q97" i="11"/>
  <c r="P97" i="11"/>
  <c r="O97" i="11"/>
  <c r="I97" i="11"/>
  <c r="G97" i="11"/>
  <c r="D97" i="11"/>
  <c r="C97" i="11"/>
  <c r="AH96" i="11"/>
  <c r="AG96" i="11" s="1"/>
  <c r="AE96" i="11"/>
  <c r="AC96" i="11"/>
  <c r="AB96" i="11"/>
  <c r="AA96" i="11"/>
  <c r="AD96" i="11" s="1"/>
  <c r="Z96" i="11"/>
  <c r="Y96" i="11"/>
  <c r="X96" i="11"/>
  <c r="W96" i="11"/>
  <c r="V96" i="11"/>
  <c r="U96" i="11"/>
  <c r="R96" i="11"/>
  <c r="S96" i="11" s="1"/>
  <c r="P96" i="11"/>
  <c r="Q96" i="11" s="1"/>
  <c r="O96" i="11"/>
  <c r="I96" i="11"/>
  <c r="G96" i="11"/>
  <c r="D96" i="11"/>
  <c r="C96" i="11"/>
  <c r="AH95" i="11"/>
  <c r="AG95" i="11"/>
  <c r="AD95" i="11"/>
  <c r="AB95" i="11"/>
  <c r="AA95" i="11"/>
  <c r="AE95" i="11" s="1"/>
  <c r="AF95" i="11" s="1"/>
  <c r="Y95" i="11"/>
  <c r="X95" i="11"/>
  <c r="Z95" i="11" s="1"/>
  <c r="V95" i="11"/>
  <c r="W95" i="11" s="1"/>
  <c r="U95" i="11"/>
  <c r="S95" i="11"/>
  <c r="R95" i="11"/>
  <c r="Q95" i="11"/>
  <c r="P95" i="11"/>
  <c r="O95" i="11"/>
  <c r="I95" i="11"/>
  <c r="G95" i="11"/>
  <c r="D95" i="11"/>
  <c r="C95" i="11"/>
  <c r="AH94" i="11"/>
  <c r="AG94" i="11"/>
  <c r="AC94" i="11"/>
  <c r="AB94" i="11"/>
  <c r="AA94" i="11"/>
  <c r="AD94" i="11" s="1"/>
  <c r="X94" i="11"/>
  <c r="W94" i="11"/>
  <c r="V94" i="11"/>
  <c r="U94" i="11"/>
  <c r="S94" i="11"/>
  <c r="R94" i="11"/>
  <c r="P94" i="11"/>
  <c r="Q94" i="11" s="1"/>
  <c r="O94" i="11"/>
  <c r="I94" i="11"/>
  <c r="G94" i="11"/>
  <c r="D94" i="11"/>
  <c r="C94" i="11"/>
  <c r="AH93" i="11"/>
  <c r="AG93" i="11" s="1"/>
  <c r="AF93" i="11"/>
  <c r="AE93" i="11"/>
  <c r="AD93" i="11"/>
  <c r="AC93" i="11"/>
  <c r="AB93" i="11"/>
  <c r="Y93" i="11"/>
  <c r="X93" i="11"/>
  <c r="Z93" i="11" s="1"/>
  <c r="V93" i="11"/>
  <c r="W93" i="11" s="1"/>
  <c r="U93" i="11"/>
  <c r="R93" i="11"/>
  <c r="S93" i="11" s="1"/>
  <c r="Q93" i="11"/>
  <c r="P93" i="11"/>
  <c r="O93" i="11"/>
  <c r="I93" i="11"/>
  <c r="G93" i="11"/>
  <c r="D93" i="11"/>
  <c r="C93" i="11"/>
  <c r="AH92" i="11"/>
  <c r="AG92" i="11"/>
  <c r="AE92" i="11"/>
  <c r="AD92" i="11"/>
  <c r="AF92" i="11" s="1"/>
  <c r="AC92" i="11"/>
  <c r="AB92" i="11"/>
  <c r="AA92" i="11"/>
  <c r="X92" i="11"/>
  <c r="Z92" i="11" s="1"/>
  <c r="W92" i="11"/>
  <c r="V92" i="11"/>
  <c r="U92" i="11"/>
  <c r="S92" i="11"/>
  <c r="R92" i="11"/>
  <c r="P92" i="11"/>
  <c r="Q92" i="11" s="1"/>
  <c r="O92" i="11"/>
  <c r="I92" i="11"/>
  <c r="G92" i="11"/>
  <c r="D92" i="11"/>
  <c r="C92" i="11"/>
  <c r="AH91" i="11"/>
  <c r="AG91" i="11" s="1"/>
  <c r="AC91" i="11"/>
  <c r="AB91" i="11"/>
  <c r="AA91" i="11"/>
  <c r="AE91" i="11" s="1"/>
  <c r="Y91" i="11"/>
  <c r="X91" i="11"/>
  <c r="Z91" i="11" s="1"/>
  <c r="W91" i="11"/>
  <c r="V91" i="11"/>
  <c r="U91" i="11"/>
  <c r="S91" i="11"/>
  <c r="R91" i="11"/>
  <c r="P91" i="11"/>
  <c r="Q91" i="11" s="1"/>
  <c r="O91" i="11"/>
  <c r="I91" i="11"/>
  <c r="G91" i="11"/>
  <c r="D91" i="11"/>
  <c r="C91" i="11"/>
  <c r="AE90" i="11"/>
  <c r="AC90" i="11"/>
  <c r="AB90" i="11"/>
  <c r="AA90" i="11"/>
  <c r="X90" i="11"/>
  <c r="Y90" i="11" s="1"/>
  <c r="V90" i="11"/>
  <c r="W90" i="11" s="1"/>
  <c r="U90" i="11"/>
  <c r="R90" i="11"/>
  <c r="S90" i="11" s="1"/>
  <c r="Q90" i="11"/>
  <c r="P90" i="11"/>
  <c r="O90" i="11"/>
  <c r="I90" i="11"/>
  <c r="G90" i="11"/>
  <c r="D90" i="11"/>
  <c r="C90" i="11"/>
  <c r="AC89" i="11"/>
  <c r="AB89" i="11"/>
  <c r="AA89" i="11"/>
  <c r="Z89" i="11"/>
  <c r="Y89" i="11"/>
  <c r="X89" i="11"/>
  <c r="W89" i="11"/>
  <c r="V89" i="11"/>
  <c r="U89" i="11"/>
  <c r="S89" i="11"/>
  <c r="R89" i="11"/>
  <c r="Q89" i="11"/>
  <c r="P89" i="11"/>
  <c r="O89" i="11"/>
  <c r="I89" i="11"/>
  <c r="G89" i="11"/>
  <c r="D89" i="11"/>
  <c r="C89" i="11"/>
  <c r="AH88" i="11"/>
  <c r="AG88" i="11" s="1"/>
  <c r="AF88" i="11"/>
  <c r="AE88" i="11"/>
  <c r="AD88" i="11"/>
  <c r="AC88" i="11"/>
  <c r="AB88" i="11"/>
  <c r="X88" i="11"/>
  <c r="Z88" i="11" s="1"/>
  <c r="W88" i="11"/>
  <c r="V88" i="11"/>
  <c r="U88" i="11"/>
  <c r="R88" i="11"/>
  <c r="S88" i="11" s="1"/>
  <c r="Q88" i="11"/>
  <c r="P88" i="11"/>
  <c r="O88" i="11"/>
  <c r="I88" i="11"/>
  <c r="G88" i="11"/>
  <c r="D88" i="11"/>
  <c r="C88" i="11"/>
  <c r="AC87" i="11"/>
  <c r="AB87" i="11"/>
  <c r="AA87" i="11"/>
  <c r="X87" i="11"/>
  <c r="W87" i="11"/>
  <c r="V87" i="11"/>
  <c r="U87" i="11"/>
  <c r="S87" i="11"/>
  <c r="R87" i="11"/>
  <c r="Q87" i="11"/>
  <c r="P87" i="11"/>
  <c r="O87" i="11"/>
  <c r="I87" i="11"/>
  <c r="G87" i="11"/>
  <c r="D87" i="11"/>
  <c r="C87" i="11"/>
  <c r="AH86" i="11"/>
  <c r="AG86" i="11" s="1"/>
  <c r="AE86" i="11"/>
  <c r="AC86" i="11"/>
  <c r="AB86" i="11"/>
  <c r="AA86" i="11"/>
  <c r="AD86" i="11" s="1"/>
  <c r="Z86" i="11"/>
  <c r="Y86" i="11"/>
  <c r="X86" i="11"/>
  <c r="V86" i="11"/>
  <c r="W86" i="11" s="1"/>
  <c r="U86" i="11"/>
  <c r="R86" i="11"/>
  <c r="S86" i="11" s="1"/>
  <c r="P86" i="11"/>
  <c r="Q86" i="11" s="1"/>
  <c r="O86" i="11"/>
  <c r="I86" i="11"/>
  <c r="G86" i="11"/>
  <c r="D86" i="11"/>
  <c r="C86" i="11"/>
  <c r="AH85" i="11"/>
  <c r="AG85" i="11" s="1"/>
  <c r="AF85" i="11"/>
  <c r="AE85" i="11"/>
  <c r="AD85" i="11"/>
  <c r="AC85" i="11"/>
  <c r="AB85" i="11"/>
  <c r="X85" i="11"/>
  <c r="W85" i="11"/>
  <c r="V85" i="11"/>
  <c r="U85" i="11"/>
  <c r="S85" i="11"/>
  <c r="R85" i="11"/>
  <c r="P85" i="11"/>
  <c r="Q85" i="11" s="1"/>
  <c r="O85" i="11"/>
  <c r="I85" i="11"/>
  <c r="G85" i="11"/>
  <c r="D85" i="11"/>
  <c r="C85" i="11"/>
  <c r="AH84" i="11"/>
  <c r="AG84" i="11" s="1"/>
  <c r="AE84" i="11"/>
  <c r="AF84" i="11" s="1"/>
  <c r="AD84" i="11"/>
  <c r="AC84" i="11"/>
  <c r="AB84" i="11"/>
  <c r="AA84" i="11"/>
  <c r="X84" i="11"/>
  <c r="Y84" i="11" s="1"/>
  <c r="W84" i="11"/>
  <c r="V84" i="11"/>
  <c r="U84" i="11"/>
  <c r="R84" i="11"/>
  <c r="Z84" i="11" s="1"/>
  <c r="I84" i="11"/>
  <c r="G84" i="11"/>
  <c r="D84" i="11"/>
  <c r="C84" i="11"/>
  <c r="AC83" i="11"/>
  <c r="AB83" i="11"/>
  <c r="AA83" i="11"/>
  <c r="X83" i="11"/>
  <c r="Y83" i="11" s="1"/>
  <c r="V83" i="11"/>
  <c r="W83" i="11" s="1"/>
  <c r="U83" i="11"/>
  <c r="R83" i="11"/>
  <c r="Q83" i="11"/>
  <c r="P83" i="11"/>
  <c r="O83" i="11"/>
  <c r="I83" i="11"/>
  <c r="G83" i="11"/>
  <c r="D83" i="11"/>
  <c r="C83" i="11"/>
  <c r="AH82" i="11"/>
  <c r="AG82" i="11"/>
  <c r="AB82" i="11"/>
  <c r="AA82" i="11"/>
  <c r="Z82" i="11"/>
  <c r="Y82" i="11"/>
  <c r="X82" i="11"/>
  <c r="W82" i="11"/>
  <c r="V82" i="11"/>
  <c r="U82" i="11"/>
  <c r="R82" i="11"/>
  <c r="S82" i="11" s="1"/>
  <c r="Q82" i="11"/>
  <c r="P82" i="11"/>
  <c r="O82" i="11"/>
  <c r="I82" i="11"/>
  <c r="G82" i="11"/>
  <c r="D82" i="11"/>
  <c r="C82" i="11"/>
  <c r="AH81" i="11"/>
  <c r="AG81" i="11" s="1"/>
  <c r="AF81" i="11"/>
  <c r="AE81" i="11"/>
  <c r="AD81" i="11"/>
  <c r="AC81" i="11"/>
  <c r="AB81" i="11"/>
  <c r="X81" i="11"/>
  <c r="Z81" i="11" s="1"/>
  <c r="W81" i="11"/>
  <c r="V81" i="11"/>
  <c r="U81" i="11"/>
  <c r="R81" i="11"/>
  <c r="S81" i="11" s="1"/>
  <c r="P81" i="11"/>
  <c r="Q81" i="11" s="1"/>
  <c r="O81" i="11"/>
  <c r="I81" i="11"/>
  <c r="G81" i="11"/>
  <c r="D81" i="11"/>
  <c r="C81" i="11"/>
  <c r="AH80" i="11"/>
  <c r="AG80" i="11" s="1"/>
  <c r="AF80" i="11"/>
  <c r="AE80" i="11"/>
  <c r="AD80" i="11"/>
  <c r="AC80" i="11"/>
  <c r="AB80" i="11"/>
  <c r="Z80" i="11"/>
  <c r="Y80" i="11"/>
  <c r="X80" i="11"/>
  <c r="V80" i="11"/>
  <c r="W80" i="11" s="1"/>
  <c r="U80" i="11"/>
  <c r="R80" i="11"/>
  <c r="S80" i="11" s="1"/>
  <c r="P80" i="11"/>
  <c r="Q80" i="11" s="1"/>
  <c r="O80" i="11"/>
  <c r="I80" i="11"/>
  <c r="G80" i="11"/>
  <c r="D80" i="11"/>
  <c r="C80" i="11"/>
  <c r="AH79" i="11"/>
  <c r="AG79" i="11"/>
  <c r="AF79" i="11"/>
  <c r="AE79" i="11"/>
  <c r="AD79" i="11"/>
  <c r="AC79" i="11"/>
  <c r="AB79" i="11"/>
  <c r="X79" i="11"/>
  <c r="W79" i="11"/>
  <c r="V79" i="11"/>
  <c r="U79" i="11"/>
  <c r="S79" i="11"/>
  <c r="R79" i="11"/>
  <c r="P79" i="11"/>
  <c r="Q79" i="11" s="1"/>
  <c r="O79" i="11"/>
  <c r="I79" i="11"/>
  <c r="G79" i="11"/>
  <c r="D79" i="11"/>
  <c r="C79" i="11"/>
  <c r="AH78" i="11"/>
  <c r="AG78" i="11" s="1"/>
  <c r="AE78" i="11"/>
  <c r="AD78" i="11"/>
  <c r="AF78" i="11" s="1"/>
  <c r="AC78" i="11"/>
  <c r="AB78" i="11"/>
  <c r="AA78" i="11"/>
  <c r="X78" i="11"/>
  <c r="Y78" i="11" s="1"/>
  <c r="W78" i="11"/>
  <c r="V78" i="11"/>
  <c r="U78" i="11"/>
  <c r="S78" i="11"/>
  <c r="R78" i="11"/>
  <c r="Z78" i="11" s="1"/>
  <c r="Q78" i="11"/>
  <c r="P78" i="11"/>
  <c r="O78" i="11"/>
  <c r="I78" i="11"/>
  <c r="G78" i="11"/>
  <c r="D78" i="11"/>
  <c r="C78" i="11"/>
  <c r="AH77" i="11"/>
  <c r="AG77" i="11" s="1"/>
  <c r="AE77" i="11"/>
  <c r="AF77" i="11" s="1"/>
  <c r="AD77" i="11"/>
  <c r="AC77" i="11"/>
  <c r="AB77" i="11"/>
  <c r="AA77" i="11"/>
  <c r="Y77" i="11"/>
  <c r="X77" i="11"/>
  <c r="Z77" i="11" s="1"/>
  <c r="V77" i="11"/>
  <c r="W77" i="11" s="1"/>
  <c r="U77" i="11"/>
  <c r="R77" i="11"/>
  <c r="S77" i="11" s="1"/>
  <c r="P77" i="11"/>
  <c r="Q77" i="11" s="1"/>
  <c r="O77" i="11"/>
  <c r="I77" i="11"/>
  <c r="G77" i="11"/>
  <c r="D77" i="11"/>
  <c r="C77" i="11"/>
  <c r="AH76" i="11"/>
  <c r="AG76" i="11"/>
  <c r="AD76" i="11"/>
  <c r="AC76" i="11"/>
  <c r="AB76" i="11"/>
  <c r="AA76" i="11"/>
  <c r="AE76" i="11" s="1"/>
  <c r="X76" i="11"/>
  <c r="Y76" i="11" s="1"/>
  <c r="W76" i="11"/>
  <c r="V76" i="11"/>
  <c r="U76" i="11"/>
  <c r="S76" i="11"/>
  <c r="R76" i="11"/>
  <c r="P76" i="11"/>
  <c r="Q76" i="11" s="1"/>
  <c r="O76" i="11"/>
  <c r="I76" i="11"/>
  <c r="G76" i="11"/>
  <c r="D76" i="11"/>
  <c r="C76" i="11"/>
  <c r="AH75" i="11"/>
  <c r="AG75" i="11" s="1"/>
  <c r="AB75" i="11"/>
  <c r="AA75" i="11"/>
  <c r="Y75" i="11"/>
  <c r="X75" i="11"/>
  <c r="W75" i="11"/>
  <c r="V75" i="11"/>
  <c r="U75" i="11"/>
  <c r="S75" i="11"/>
  <c r="R75" i="11"/>
  <c r="Z75" i="11" s="1"/>
  <c r="P75" i="11"/>
  <c r="Q75" i="11" s="1"/>
  <c r="O75" i="11"/>
  <c r="I75" i="11"/>
  <c r="G75" i="11"/>
  <c r="D75" i="11"/>
  <c r="C75" i="11"/>
  <c r="AH74" i="11"/>
  <c r="AG74" i="11" s="1"/>
  <c r="AC74" i="11"/>
  <c r="AB74" i="11"/>
  <c r="AA74" i="11"/>
  <c r="AD74" i="11" s="1"/>
  <c r="Z74" i="11"/>
  <c r="X74" i="11"/>
  <c r="Y74" i="11" s="1"/>
  <c r="V74" i="11"/>
  <c r="W74" i="11" s="1"/>
  <c r="U74" i="11"/>
  <c r="R74" i="11"/>
  <c r="S74" i="11" s="1"/>
  <c r="Q74" i="11"/>
  <c r="P74" i="11"/>
  <c r="O74" i="11"/>
  <c r="I74" i="11"/>
  <c r="G74" i="11"/>
  <c r="D74" i="11"/>
  <c r="C74" i="11"/>
  <c r="AH73" i="11"/>
  <c r="AG73" i="11"/>
  <c r="AB73" i="11"/>
  <c r="AA73" i="11"/>
  <c r="Z73" i="11"/>
  <c r="Y73" i="11"/>
  <c r="X73" i="11"/>
  <c r="W73" i="11"/>
  <c r="V73" i="11"/>
  <c r="U73" i="11"/>
  <c r="S73" i="11"/>
  <c r="R73" i="11"/>
  <c r="Q73" i="11"/>
  <c r="P73" i="11"/>
  <c r="O73" i="11"/>
  <c r="I73" i="11"/>
  <c r="G73" i="11"/>
  <c r="D73" i="11"/>
  <c r="C73" i="11"/>
  <c r="AH72" i="11"/>
  <c r="AG72" i="11" s="1"/>
  <c r="AF72" i="11"/>
  <c r="AE72" i="11"/>
  <c r="AD72" i="11"/>
  <c r="AC72" i="11"/>
  <c r="AB72" i="11"/>
  <c r="AA72" i="11"/>
  <c r="Y72" i="11"/>
  <c r="X72" i="11"/>
  <c r="Z72" i="11" s="1"/>
  <c r="V72" i="11"/>
  <c r="W72" i="11" s="1"/>
  <c r="U72" i="11"/>
  <c r="S72" i="11"/>
  <c r="R72" i="11"/>
  <c r="P72" i="11"/>
  <c r="Q72" i="11" s="1"/>
  <c r="O72" i="11"/>
  <c r="I72" i="11"/>
  <c r="G72" i="11"/>
  <c r="D72" i="11"/>
  <c r="C72" i="11"/>
  <c r="AH71" i="11"/>
  <c r="AG71" i="11"/>
  <c r="AF71" i="11"/>
  <c r="AE71" i="11"/>
  <c r="AD71" i="11"/>
  <c r="AC71" i="11"/>
  <c r="AB71" i="11"/>
  <c r="X71" i="11"/>
  <c r="V71" i="11"/>
  <c r="W71" i="11" s="1"/>
  <c r="U71" i="11"/>
  <c r="S71" i="11"/>
  <c r="R71" i="11"/>
  <c r="Q71" i="11"/>
  <c r="P71" i="11"/>
  <c r="O71" i="11"/>
  <c r="I71" i="11"/>
  <c r="G71" i="11"/>
  <c r="D71" i="11"/>
  <c r="C71" i="11"/>
  <c r="AH70" i="11"/>
  <c r="AG70" i="11"/>
  <c r="AE70" i="11"/>
  <c r="AF70" i="11" s="1"/>
  <c r="AC70" i="11"/>
  <c r="AB70" i="11"/>
  <c r="AA70" i="11"/>
  <c r="AD70" i="11" s="1"/>
  <c r="Z70" i="11"/>
  <c r="Y70" i="11"/>
  <c r="X70" i="11"/>
  <c r="V70" i="11"/>
  <c r="W70" i="11" s="1"/>
  <c r="U70" i="11"/>
  <c r="S70" i="11"/>
  <c r="R70" i="11"/>
  <c r="P70" i="11"/>
  <c r="Q70" i="11" s="1"/>
  <c r="O70" i="11"/>
  <c r="I70" i="11"/>
  <c r="G70" i="11"/>
  <c r="D70" i="11"/>
  <c r="C70" i="11"/>
  <c r="AH69" i="11"/>
  <c r="AG69" i="11"/>
  <c r="AF69" i="11"/>
  <c r="AE69" i="11"/>
  <c r="AD69" i="11"/>
  <c r="AC69" i="11"/>
  <c r="AB69" i="11"/>
  <c r="X69" i="11"/>
  <c r="W69" i="11"/>
  <c r="V69" i="11"/>
  <c r="U69" i="11"/>
  <c r="S69" i="11"/>
  <c r="R69" i="11"/>
  <c r="P69" i="11"/>
  <c r="Q69" i="11" s="1"/>
  <c r="O69" i="11"/>
  <c r="I69" i="11"/>
  <c r="G69" i="11"/>
  <c r="D69" i="11"/>
  <c r="C69" i="11"/>
  <c r="AH68" i="11"/>
  <c r="AG68" i="11" s="1"/>
  <c r="AF68" i="11"/>
  <c r="AE68" i="11"/>
  <c r="AD68" i="11"/>
  <c r="AC68" i="11"/>
  <c r="AB68" i="11"/>
  <c r="AA68" i="11"/>
  <c r="Y68" i="11"/>
  <c r="X68" i="11"/>
  <c r="W68" i="11"/>
  <c r="V68" i="11"/>
  <c r="U68" i="11"/>
  <c r="S68" i="11"/>
  <c r="R68" i="11"/>
  <c r="Z68" i="11" s="1"/>
  <c r="Q68" i="11"/>
  <c r="P68" i="11"/>
  <c r="O68" i="11"/>
  <c r="I68" i="11"/>
  <c r="G68" i="11"/>
  <c r="D68" i="11"/>
  <c r="C68" i="11"/>
  <c r="AH67" i="11"/>
  <c r="AG67" i="11" s="1"/>
  <c r="AE67" i="11"/>
  <c r="AD67" i="11"/>
  <c r="AC67" i="11"/>
  <c r="AB67" i="11"/>
  <c r="AA67" i="11"/>
  <c r="X67" i="11"/>
  <c r="Z67" i="11" s="1"/>
  <c r="V67" i="11"/>
  <c r="W67" i="11" s="1"/>
  <c r="U67" i="11"/>
  <c r="R67" i="11"/>
  <c r="S67" i="11" s="1"/>
  <c r="P67" i="11"/>
  <c r="Q67" i="11" s="1"/>
  <c r="O67" i="11"/>
  <c r="I67" i="11"/>
  <c r="G67" i="11"/>
  <c r="D67" i="11"/>
  <c r="C67" i="11"/>
  <c r="AC66" i="11"/>
  <c r="AB66" i="11"/>
  <c r="AA66" i="11"/>
  <c r="AE66" i="11" s="1"/>
  <c r="Z66" i="11"/>
  <c r="X66" i="11"/>
  <c r="Y66" i="11" s="1"/>
  <c r="V66" i="11"/>
  <c r="W66" i="11" s="1"/>
  <c r="U66" i="11"/>
  <c r="S66" i="11"/>
  <c r="R66" i="11"/>
  <c r="P66" i="11"/>
  <c r="Q66" i="11" s="1"/>
  <c r="O66" i="11"/>
  <c r="I66" i="11"/>
  <c r="G66" i="11"/>
  <c r="D66" i="11"/>
  <c r="C66" i="11"/>
  <c r="AH65" i="11"/>
  <c r="AG65" i="11"/>
  <c r="AB65" i="11"/>
  <c r="AA65" i="11"/>
  <c r="AD65" i="11" s="1"/>
  <c r="X65" i="11"/>
  <c r="Y65" i="11" s="1"/>
  <c r="V65" i="11"/>
  <c r="W65" i="11" s="1"/>
  <c r="U65" i="11"/>
  <c r="R65" i="11"/>
  <c r="S65" i="11" s="1"/>
  <c r="P65" i="11"/>
  <c r="Q65" i="11" s="1"/>
  <c r="O65" i="11"/>
  <c r="I65" i="11"/>
  <c r="G65" i="11"/>
  <c r="D65" i="11"/>
  <c r="C65" i="11"/>
  <c r="AH64" i="11"/>
  <c r="AG64" i="11" s="1"/>
  <c r="AD64" i="11"/>
  <c r="AB64" i="11"/>
  <c r="AA64" i="11"/>
  <c r="AC64" i="11" s="1"/>
  <c r="X64" i="11"/>
  <c r="Z64" i="11" s="1"/>
  <c r="V64" i="11"/>
  <c r="W64" i="11" s="1"/>
  <c r="U64" i="11"/>
  <c r="R64" i="11"/>
  <c r="S64" i="11" s="1"/>
  <c r="Q64" i="11"/>
  <c r="P64" i="11"/>
  <c r="O64" i="11"/>
  <c r="I64" i="11"/>
  <c r="G64" i="11"/>
  <c r="D64" i="11"/>
  <c r="C64" i="11"/>
  <c r="AC63" i="11"/>
  <c r="AB63" i="11"/>
  <c r="AA63" i="11"/>
  <c r="AE63" i="11" s="1"/>
  <c r="Z63" i="11"/>
  <c r="Y63" i="11"/>
  <c r="X63" i="11"/>
  <c r="W63" i="11"/>
  <c r="V63" i="11"/>
  <c r="U63" i="11"/>
  <c r="S63" i="11"/>
  <c r="R63" i="11"/>
  <c r="Q63" i="11"/>
  <c r="P63" i="11"/>
  <c r="O63" i="11"/>
  <c r="I63" i="11"/>
  <c r="G63" i="11"/>
  <c r="D63" i="11"/>
  <c r="C63" i="11"/>
  <c r="AH62" i="11"/>
  <c r="AG62" i="11" s="1"/>
  <c r="AF62" i="11"/>
  <c r="AE62" i="11"/>
  <c r="AD62" i="11"/>
  <c r="AC62" i="11"/>
  <c r="AB62" i="11"/>
  <c r="Y62" i="11"/>
  <c r="X62" i="11"/>
  <c r="W62" i="11"/>
  <c r="V62" i="11"/>
  <c r="U62" i="11"/>
  <c r="R62" i="11"/>
  <c r="Z62" i="11" s="1"/>
  <c r="Q62" i="11"/>
  <c r="P62" i="11"/>
  <c r="O62" i="11"/>
  <c r="I62" i="11"/>
  <c r="G62" i="11"/>
  <c r="D62" i="11"/>
  <c r="C62" i="11"/>
  <c r="AH61" i="11"/>
  <c r="AG61" i="11" s="1"/>
  <c r="AD61" i="11"/>
  <c r="AC61" i="11"/>
  <c r="AB61" i="11"/>
  <c r="AA61" i="11"/>
  <c r="AE61" i="11" s="1"/>
  <c r="AF61" i="11" s="1"/>
  <c r="X61" i="11"/>
  <c r="Z61" i="11" s="1"/>
  <c r="W61" i="11"/>
  <c r="V61" i="11"/>
  <c r="U61" i="11"/>
  <c r="S61" i="11"/>
  <c r="R61" i="11"/>
  <c r="P61" i="11"/>
  <c r="Q61" i="11" s="1"/>
  <c r="O61" i="11"/>
  <c r="I61" i="11"/>
  <c r="G61" i="11"/>
  <c r="D61" i="11"/>
  <c r="C61" i="11"/>
  <c r="AH60" i="11"/>
  <c r="AG60" i="11" s="1"/>
  <c r="AF60" i="11"/>
  <c r="AE60" i="11"/>
  <c r="AD60" i="11"/>
  <c r="AC60" i="11"/>
  <c r="AB60" i="11"/>
  <c r="Y60" i="11"/>
  <c r="X60" i="11"/>
  <c r="Z60" i="11" s="1"/>
  <c r="V60" i="11"/>
  <c r="W60" i="11" s="1"/>
  <c r="U60" i="11"/>
  <c r="S60" i="11"/>
  <c r="R60" i="11"/>
  <c r="Q60" i="11"/>
  <c r="P60" i="11"/>
  <c r="O60" i="11"/>
  <c r="I60" i="11"/>
  <c r="G60" i="11"/>
  <c r="D60" i="11"/>
  <c r="C60" i="11"/>
  <c r="AH59" i="11"/>
  <c r="AG59" i="11"/>
  <c r="AB59" i="11"/>
  <c r="AA59" i="11"/>
  <c r="AE59" i="11" s="1"/>
  <c r="Z59" i="11"/>
  <c r="X59" i="11"/>
  <c r="Y59" i="11" s="1"/>
  <c r="V59" i="11"/>
  <c r="W59" i="11" s="1"/>
  <c r="U59" i="11"/>
  <c r="S59" i="11"/>
  <c r="R59" i="11"/>
  <c r="P59" i="11"/>
  <c r="Q59" i="11" s="1"/>
  <c r="O59" i="11"/>
  <c r="I59" i="11"/>
  <c r="G59" i="11"/>
  <c r="D59" i="11"/>
  <c r="C59" i="11"/>
  <c r="AE58" i="11"/>
  <c r="AC58" i="11"/>
  <c r="AB58" i="11"/>
  <c r="AA58" i="11"/>
  <c r="AH58" i="11" s="1"/>
  <c r="AG58" i="11" s="1"/>
  <c r="Z58" i="11"/>
  <c r="Y58" i="11"/>
  <c r="X58" i="11"/>
  <c r="W58" i="11"/>
  <c r="V58" i="11"/>
  <c r="U58" i="11"/>
  <c r="S58" i="11"/>
  <c r="R58" i="11"/>
  <c r="Q58" i="11"/>
  <c r="P58" i="11"/>
  <c r="O58" i="11"/>
  <c r="I58" i="11"/>
  <c r="G58" i="11"/>
  <c r="D58" i="11"/>
  <c r="C58" i="11"/>
  <c r="AH57" i="11"/>
  <c r="AG57" i="11" s="1"/>
  <c r="AE57" i="11"/>
  <c r="AF57" i="11" s="1"/>
  <c r="AB57" i="11"/>
  <c r="AA57" i="11"/>
  <c r="AD57" i="11" s="1"/>
  <c r="X57" i="11"/>
  <c r="Y57" i="11" s="1"/>
  <c r="V57" i="11"/>
  <c r="W57" i="11" s="1"/>
  <c r="U57" i="11"/>
  <c r="R57" i="11"/>
  <c r="S57" i="11" s="1"/>
  <c r="Q57" i="11"/>
  <c r="P57" i="11"/>
  <c r="O57" i="11"/>
  <c r="I57" i="11"/>
  <c r="G57" i="11"/>
  <c r="D57" i="11"/>
  <c r="C57" i="11"/>
  <c r="AH56" i="11"/>
  <c r="AG56" i="11"/>
  <c r="AF56" i="11"/>
  <c r="AE56" i="11"/>
  <c r="AD56" i="11"/>
  <c r="AC56" i="11"/>
  <c r="AB56" i="11"/>
  <c r="Y56" i="11"/>
  <c r="X56" i="11"/>
  <c r="Z56" i="11" s="1"/>
  <c r="V56" i="11"/>
  <c r="W56" i="11" s="1"/>
  <c r="U56" i="11"/>
  <c r="S56" i="11"/>
  <c r="R56" i="11"/>
  <c r="P56" i="11"/>
  <c r="Q56" i="11" s="1"/>
  <c r="O56" i="11"/>
  <c r="I56" i="11"/>
  <c r="G56" i="11"/>
  <c r="D56" i="11"/>
  <c r="C56" i="11"/>
  <c r="AH55" i="11"/>
  <c r="AG55" i="11"/>
  <c r="AE55" i="11"/>
  <c r="AC55" i="11"/>
  <c r="AB55" i="11"/>
  <c r="AA55" i="11"/>
  <c r="AD55" i="11" s="1"/>
  <c r="X55" i="11"/>
  <c r="Z55" i="11" s="1"/>
  <c r="V55" i="11"/>
  <c r="W55" i="11" s="1"/>
  <c r="U55" i="11"/>
  <c r="R55" i="11"/>
  <c r="S55" i="11" s="1"/>
  <c r="P55" i="11"/>
  <c r="Q55" i="11" s="1"/>
  <c r="O55" i="11"/>
  <c r="I55" i="11"/>
  <c r="G55" i="11"/>
  <c r="D55" i="11"/>
  <c r="C55" i="11"/>
  <c r="AH54" i="11"/>
  <c r="AG54" i="11"/>
  <c r="AB54" i="11"/>
  <c r="AA54" i="11"/>
  <c r="AE54" i="11" s="1"/>
  <c r="Z54" i="11"/>
  <c r="Y54" i="11"/>
  <c r="X54" i="11"/>
  <c r="W54" i="11"/>
  <c r="V54" i="11"/>
  <c r="U54" i="11"/>
  <c r="S54" i="11"/>
  <c r="R54" i="11"/>
  <c r="Q54" i="11"/>
  <c r="P54" i="11"/>
  <c r="O54" i="11"/>
  <c r="I54" i="11"/>
  <c r="G54" i="11"/>
  <c r="D54" i="11"/>
  <c r="C54" i="11"/>
  <c r="AH53" i="11"/>
  <c r="AG53" i="11" s="1"/>
  <c r="AE53" i="11"/>
  <c r="AF53" i="11" s="1"/>
  <c r="AC53" i="11"/>
  <c r="AB53" i="11"/>
  <c r="AA53" i="11"/>
  <c r="AD53" i="11" s="1"/>
  <c r="Y53" i="11"/>
  <c r="X53" i="11"/>
  <c r="V53" i="11"/>
  <c r="W53" i="11" s="1"/>
  <c r="U53" i="11"/>
  <c r="R53" i="11"/>
  <c r="S53" i="11" s="1"/>
  <c r="P53" i="11"/>
  <c r="Q53" i="11" s="1"/>
  <c r="O53" i="11"/>
  <c r="I53" i="11"/>
  <c r="G53" i="11"/>
  <c r="D53" i="11"/>
  <c r="C53" i="11"/>
  <c r="AH52" i="11"/>
  <c r="AG52" i="11"/>
  <c r="AE52" i="11"/>
  <c r="AF52" i="11" s="1"/>
  <c r="AD52" i="11"/>
  <c r="AB52" i="11"/>
  <c r="AA52" i="11"/>
  <c r="AC52" i="11" s="1"/>
  <c r="Y52" i="11"/>
  <c r="X52" i="11"/>
  <c r="W52" i="11"/>
  <c r="V52" i="11"/>
  <c r="U52" i="11"/>
  <c r="R52" i="11"/>
  <c r="Z52" i="11" s="1"/>
  <c r="Q52" i="11"/>
  <c r="P52" i="11"/>
  <c r="O52" i="11"/>
  <c r="I52" i="11"/>
  <c r="G52" i="11"/>
  <c r="D52" i="11"/>
  <c r="C52" i="11"/>
  <c r="AH51" i="11"/>
  <c r="AG51" i="11" s="1"/>
  <c r="AF51" i="11"/>
  <c r="AE51" i="11"/>
  <c r="AD51" i="11"/>
  <c r="AC51" i="11"/>
  <c r="AB51" i="11"/>
  <c r="X51" i="11"/>
  <c r="Y51" i="11" s="1"/>
  <c r="W51" i="11"/>
  <c r="V51" i="11"/>
  <c r="U51" i="11"/>
  <c r="R51" i="11"/>
  <c r="Z51" i="11" s="1"/>
  <c r="P51" i="11"/>
  <c r="Q51" i="11" s="1"/>
  <c r="O51" i="11"/>
  <c r="I51" i="11"/>
  <c r="G51" i="11"/>
  <c r="D51" i="11"/>
  <c r="C51" i="11"/>
  <c r="AH50" i="11"/>
  <c r="AG50" i="11" s="1"/>
  <c r="AB50" i="11"/>
  <c r="AA50" i="11"/>
  <c r="AE50" i="11" s="1"/>
  <c r="Y50" i="11"/>
  <c r="X50" i="11"/>
  <c r="Z50" i="11" s="1"/>
  <c r="V50" i="11"/>
  <c r="W50" i="11" s="1"/>
  <c r="U50" i="11"/>
  <c r="S50" i="11"/>
  <c r="R50" i="11"/>
  <c r="Q50" i="11"/>
  <c r="P50" i="11"/>
  <c r="O50" i="11"/>
  <c r="I50" i="11"/>
  <c r="G50" i="11"/>
  <c r="D50" i="11"/>
  <c r="C50" i="11"/>
  <c r="AH49" i="11"/>
  <c r="AG49" i="11"/>
  <c r="AB49" i="11"/>
  <c r="AA49" i="11"/>
  <c r="AE49" i="11" s="1"/>
  <c r="Z49" i="11"/>
  <c r="X49" i="11"/>
  <c r="Y49" i="11" s="1"/>
  <c r="V49" i="11"/>
  <c r="W49" i="11" s="1"/>
  <c r="U49" i="11"/>
  <c r="S49" i="11"/>
  <c r="R49" i="11"/>
  <c r="P49" i="11"/>
  <c r="Q49" i="11" s="1"/>
  <c r="O49" i="11"/>
  <c r="I49" i="11"/>
  <c r="G49" i="11"/>
  <c r="D49" i="11"/>
  <c r="C49" i="11"/>
  <c r="AC48" i="11"/>
  <c r="AB48" i="11"/>
  <c r="AA48" i="11"/>
  <c r="AH48" i="11" s="1"/>
  <c r="AG48" i="11" s="1"/>
  <c r="Z48" i="11"/>
  <c r="Y48" i="11"/>
  <c r="X48" i="11"/>
  <c r="W48" i="11"/>
  <c r="V48" i="11"/>
  <c r="U48" i="11"/>
  <c r="S48" i="11"/>
  <c r="R48" i="11"/>
  <c r="Q48" i="11"/>
  <c r="P48" i="11"/>
  <c r="O48" i="11"/>
  <c r="I48" i="11"/>
  <c r="G48" i="11"/>
  <c r="D48" i="11"/>
  <c r="C48" i="11"/>
  <c r="AH47" i="11"/>
  <c r="AG47" i="11" s="1"/>
  <c r="AF47" i="11"/>
  <c r="AE47" i="11"/>
  <c r="AD47" i="11"/>
  <c r="AC47" i="11"/>
  <c r="AB47" i="11"/>
  <c r="X47" i="11"/>
  <c r="Z47" i="11" s="1"/>
  <c r="W47" i="11"/>
  <c r="V47" i="11"/>
  <c r="U47" i="11"/>
  <c r="R47" i="11"/>
  <c r="S47" i="11" s="1"/>
  <c r="Q47" i="11"/>
  <c r="P47" i="11"/>
  <c r="O47" i="11"/>
  <c r="I47" i="11"/>
  <c r="G47" i="11"/>
  <c r="D47" i="11"/>
  <c r="C47" i="11"/>
  <c r="AH46" i="11"/>
  <c r="AG46" i="11" s="1"/>
  <c r="AD46" i="11"/>
  <c r="AC46" i="11"/>
  <c r="AB46" i="11"/>
  <c r="AA46" i="11"/>
  <c r="AE46" i="11" s="1"/>
  <c r="AF46" i="11" s="1"/>
  <c r="Y46" i="11"/>
  <c r="X46" i="11"/>
  <c r="Z46" i="11" s="1"/>
  <c r="V46" i="11"/>
  <c r="W46" i="11" s="1"/>
  <c r="U46" i="11"/>
  <c r="S46" i="11"/>
  <c r="R46" i="11"/>
  <c r="P46" i="11"/>
  <c r="Q46" i="11" s="1"/>
  <c r="O46" i="11"/>
  <c r="I46" i="11"/>
  <c r="G46" i="11"/>
  <c r="D46" i="11"/>
  <c r="C46" i="11"/>
  <c r="AH45" i="11"/>
  <c r="AG45" i="11"/>
  <c r="AE45" i="11"/>
  <c r="AC45" i="11"/>
  <c r="AB45" i="11"/>
  <c r="AA45" i="11"/>
  <c r="AD45" i="11" s="1"/>
  <c r="X45" i="11"/>
  <c r="Z45" i="11" s="1"/>
  <c r="V45" i="11"/>
  <c r="W45" i="11" s="1"/>
  <c r="U45" i="11"/>
  <c r="R45" i="11"/>
  <c r="S45" i="11" s="1"/>
  <c r="P45" i="11"/>
  <c r="Q45" i="11" s="1"/>
  <c r="O45" i="11"/>
  <c r="I45" i="11"/>
  <c r="G45" i="11"/>
  <c r="D45" i="11"/>
  <c r="C45" i="11"/>
  <c r="AH44" i="11"/>
  <c r="AG44" i="11"/>
  <c r="AF44" i="11"/>
  <c r="AE44" i="11"/>
  <c r="AD44" i="11"/>
  <c r="AC44" i="11"/>
  <c r="AB44" i="11"/>
  <c r="Y44" i="11"/>
  <c r="X44" i="11"/>
  <c r="V44" i="11"/>
  <c r="W44" i="11" s="1"/>
  <c r="U44" i="11"/>
  <c r="R44" i="11"/>
  <c r="Z44" i="11" s="1"/>
  <c r="P44" i="11"/>
  <c r="Q44" i="11" s="1"/>
  <c r="O44" i="11"/>
  <c r="I44" i="11"/>
  <c r="G44" i="11"/>
  <c r="D44" i="11"/>
  <c r="C44" i="11"/>
  <c r="AE43" i="11"/>
  <c r="AF43" i="11" s="1"/>
  <c r="AD43" i="11"/>
  <c r="AC43" i="11"/>
  <c r="AB43" i="11"/>
  <c r="AA43" i="11"/>
  <c r="AH43" i="11" s="1"/>
  <c r="AG43" i="11" s="1"/>
  <c r="Y43" i="11"/>
  <c r="X43" i="11"/>
  <c r="W43" i="11"/>
  <c r="V43" i="11"/>
  <c r="U43" i="11"/>
  <c r="R43" i="11"/>
  <c r="Z43" i="11" s="1"/>
  <c r="Q43" i="11"/>
  <c r="P43" i="11"/>
  <c r="O43" i="11"/>
  <c r="I43" i="11"/>
  <c r="G43" i="11"/>
  <c r="D43" i="11"/>
  <c r="C43" i="11"/>
  <c r="AH42" i="11"/>
  <c r="AG42" i="11" s="1"/>
  <c r="AF42" i="11"/>
  <c r="AE42" i="11"/>
  <c r="AD42" i="11"/>
  <c r="AC42" i="11"/>
  <c r="AB42" i="11"/>
  <c r="X42" i="11"/>
  <c r="Y42" i="11" s="1"/>
  <c r="W42" i="11"/>
  <c r="V42" i="11"/>
  <c r="U42" i="11"/>
  <c r="R42" i="11"/>
  <c r="Z42" i="11" s="1"/>
  <c r="P42" i="11"/>
  <c r="Q42" i="11" s="1"/>
  <c r="O42" i="11"/>
  <c r="I42" i="11"/>
  <c r="G42" i="11"/>
  <c r="D42" i="11"/>
  <c r="C42" i="11"/>
  <c r="AH41" i="11"/>
  <c r="AG41" i="11" s="1"/>
  <c r="AF41" i="11"/>
  <c r="AE41" i="11"/>
  <c r="AD41" i="11"/>
  <c r="AC41" i="11"/>
  <c r="AB41" i="11"/>
  <c r="Z41" i="11"/>
  <c r="X41" i="11"/>
  <c r="Y41" i="11" s="1"/>
  <c r="V41" i="11"/>
  <c r="W41" i="11" s="1"/>
  <c r="U41" i="11"/>
  <c r="R41" i="11"/>
  <c r="S41" i="11" s="1"/>
  <c r="P41" i="11"/>
  <c r="Q41" i="11" s="1"/>
  <c r="O41" i="11"/>
  <c r="I41" i="11"/>
  <c r="G41" i="11"/>
  <c r="D41" i="11"/>
  <c r="C41" i="11"/>
  <c r="AC40" i="11"/>
  <c r="AB40" i="11"/>
  <c r="AA40" i="11"/>
  <c r="AH40" i="11" s="1"/>
  <c r="AG40" i="11" s="1"/>
  <c r="Z40" i="11"/>
  <c r="Y40" i="11"/>
  <c r="X40" i="11"/>
  <c r="W40" i="11"/>
  <c r="V40" i="11"/>
  <c r="U40" i="11"/>
  <c r="S40" i="11"/>
  <c r="R40" i="11"/>
  <c r="Q40" i="11"/>
  <c r="P40" i="11"/>
  <c r="O40" i="11"/>
  <c r="I40" i="11"/>
  <c r="G40" i="11"/>
  <c r="D40" i="11"/>
  <c r="C40" i="11"/>
  <c r="AH39" i="11"/>
  <c r="AG39" i="11" s="1"/>
  <c r="AF39" i="11"/>
  <c r="AE39" i="11"/>
  <c r="AD39" i="11"/>
  <c r="AC39" i="11"/>
  <c r="AB39" i="11"/>
  <c r="X39" i="11"/>
  <c r="Z39" i="11" s="1"/>
  <c r="W39" i="11"/>
  <c r="V39" i="11"/>
  <c r="U39" i="11"/>
  <c r="R39" i="11"/>
  <c r="S39" i="11" s="1"/>
  <c r="Q39" i="11"/>
  <c r="P39" i="11"/>
  <c r="O39" i="11"/>
  <c r="I39" i="11"/>
  <c r="G39" i="11"/>
  <c r="D39" i="11"/>
  <c r="C39" i="11"/>
  <c r="AH38" i="11"/>
  <c r="AG38" i="11" s="1"/>
  <c r="AD38" i="11"/>
  <c r="AC38" i="11"/>
  <c r="AB38" i="11"/>
  <c r="AA38" i="11"/>
  <c r="AE38" i="11" s="1"/>
  <c r="AF38" i="11" s="1"/>
  <c r="Y38" i="11"/>
  <c r="X38" i="11"/>
  <c r="Z38" i="11" s="1"/>
  <c r="V38" i="11"/>
  <c r="W38" i="11" s="1"/>
  <c r="U38" i="11"/>
  <c r="S38" i="11"/>
  <c r="R38" i="11"/>
  <c r="P38" i="11"/>
  <c r="Q38" i="11" s="1"/>
  <c r="O38" i="11"/>
  <c r="I38" i="11"/>
  <c r="G38" i="11"/>
  <c r="D38" i="11"/>
  <c r="C38" i="11"/>
  <c r="AH37" i="11"/>
  <c r="AG37" i="11"/>
  <c r="AE37" i="11"/>
  <c r="AC37" i="11"/>
  <c r="AB37" i="11"/>
  <c r="AA37" i="11"/>
  <c r="AD37" i="11" s="1"/>
  <c r="X37" i="11"/>
  <c r="Z37" i="11" s="1"/>
  <c r="V37" i="11"/>
  <c r="W37" i="11" s="1"/>
  <c r="U37" i="11"/>
  <c r="R37" i="11"/>
  <c r="S37" i="11" s="1"/>
  <c r="P37" i="11"/>
  <c r="Q37" i="11" s="1"/>
  <c r="O37" i="11"/>
  <c r="I37" i="11"/>
  <c r="G37" i="11"/>
  <c r="D37" i="11"/>
  <c r="C37" i="11"/>
  <c r="AC36" i="11"/>
  <c r="AB36" i="11"/>
  <c r="AA36" i="11"/>
  <c r="AE36" i="11" s="1"/>
  <c r="Z36" i="11"/>
  <c r="Y36" i="11"/>
  <c r="X36" i="11"/>
  <c r="W36" i="11"/>
  <c r="V36" i="11"/>
  <c r="U36" i="11"/>
  <c r="S36" i="11"/>
  <c r="R36" i="11"/>
  <c r="Q36" i="11"/>
  <c r="P36" i="11"/>
  <c r="O36" i="11"/>
  <c r="I36" i="11"/>
  <c r="G36" i="11"/>
  <c r="D36" i="11"/>
  <c r="C36" i="11"/>
  <c r="AH35" i="11"/>
  <c r="AG35" i="11" s="1"/>
  <c r="AF35" i="11"/>
  <c r="AE35" i="11"/>
  <c r="AD35" i="11"/>
  <c r="AC35" i="11"/>
  <c r="AB35" i="11"/>
  <c r="Y35" i="11"/>
  <c r="X35" i="11"/>
  <c r="W35" i="11"/>
  <c r="V35" i="11"/>
  <c r="U35" i="11"/>
  <c r="R35" i="11"/>
  <c r="Z35" i="11" s="1"/>
  <c r="Q35" i="11"/>
  <c r="P35" i="11"/>
  <c r="O35" i="11"/>
  <c r="I35" i="11"/>
  <c r="G35" i="11"/>
  <c r="D35" i="11"/>
  <c r="C35" i="11"/>
  <c r="AH34" i="11"/>
  <c r="AG34" i="11" s="1"/>
  <c r="AF34" i="11"/>
  <c r="AE34" i="11"/>
  <c r="AD34" i="11"/>
  <c r="AC34" i="11"/>
  <c r="AB34" i="11"/>
  <c r="X34" i="11"/>
  <c r="Y34" i="11" s="1"/>
  <c r="W34" i="11"/>
  <c r="V34" i="11"/>
  <c r="U34" i="11"/>
  <c r="R34" i="11"/>
  <c r="Z34" i="11" s="1"/>
  <c r="P34" i="11"/>
  <c r="Q34" i="11" s="1"/>
  <c r="O34" i="11"/>
  <c r="I34" i="11"/>
  <c r="G34" i="11"/>
  <c r="D34" i="11"/>
  <c r="C34" i="11"/>
  <c r="AH33" i="11"/>
  <c r="AG33" i="11" s="1"/>
  <c r="AB33" i="11"/>
  <c r="AA33" i="11"/>
  <c r="AE33" i="11" s="1"/>
  <c r="Z33" i="11"/>
  <c r="Y33" i="11"/>
  <c r="X33" i="11"/>
  <c r="V33" i="11"/>
  <c r="W33" i="11" s="1"/>
  <c r="U33" i="11"/>
  <c r="S33" i="11"/>
  <c r="R33" i="11"/>
  <c r="Q33" i="11"/>
  <c r="P33" i="11"/>
  <c r="O33" i="11"/>
  <c r="I33" i="11"/>
  <c r="G33" i="11"/>
  <c r="D33" i="11"/>
  <c r="C33" i="11"/>
  <c r="AC32" i="11"/>
  <c r="AB32" i="11"/>
  <c r="AA32" i="11"/>
  <c r="AH32" i="11" s="1"/>
  <c r="AG32" i="11" s="1"/>
  <c r="Z32" i="11"/>
  <c r="X32" i="11"/>
  <c r="Y32" i="11" s="1"/>
  <c r="V32" i="11"/>
  <c r="W32" i="11" s="1"/>
  <c r="U32" i="11"/>
  <c r="S32" i="11"/>
  <c r="R32" i="11"/>
  <c r="P32" i="11"/>
  <c r="Q32" i="11" s="1"/>
  <c r="O32" i="11"/>
  <c r="I32" i="11"/>
  <c r="G32" i="11"/>
  <c r="D32" i="11"/>
  <c r="C32" i="11"/>
  <c r="AH31" i="11"/>
  <c r="AG31" i="11"/>
  <c r="AF31" i="11"/>
  <c r="AE31" i="11"/>
  <c r="AD31" i="11"/>
  <c r="AC31" i="11"/>
  <c r="AB31" i="11"/>
  <c r="X31" i="11"/>
  <c r="Y31" i="11" s="1"/>
  <c r="V31" i="11"/>
  <c r="W31" i="11" s="1"/>
  <c r="U31" i="11"/>
  <c r="R31" i="11"/>
  <c r="S31" i="11" s="1"/>
  <c r="Q31" i="11"/>
  <c r="P31" i="11"/>
  <c r="O31" i="11"/>
  <c r="I31" i="11"/>
  <c r="G31" i="11"/>
  <c r="D31" i="11"/>
  <c r="C31" i="11"/>
  <c r="AH30" i="11"/>
  <c r="AG30" i="11"/>
  <c r="AF30" i="11"/>
  <c r="AE30" i="11"/>
  <c r="AD30" i="11"/>
  <c r="AC30" i="11"/>
  <c r="AB30" i="11"/>
  <c r="Y30" i="11"/>
  <c r="X30" i="11"/>
  <c r="Z30" i="11" s="1"/>
  <c r="V30" i="11"/>
  <c r="W30" i="11" s="1"/>
  <c r="U30" i="11"/>
  <c r="S30" i="11"/>
  <c r="R30" i="11"/>
  <c r="P30" i="11"/>
  <c r="Q30" i="11" s="1"/>
  <c r="O30" i="11"/>
  <c r="I30" i="11"/>
  <c r="G30" i="11"/>
  <c r="D30" i="11"/>
  <c r="C30" i="11"/>
  <c r="AH29" i="11"/>
  <c r="AG29" i="11"/>
  <c r="AF29" i="11"/>
  <c r="AE29" i="11"/>
  <c r="AD29" i="11"/>
  <c r="AC29" i="11"/>
  <c r="AB29" i="11"/>
  <c r="Z29" i="11"/>
  <c r="Y29" i="11"/>
  <c r="X29" i="11"/>
  <c r="W29" i="11"/>
  <c r="V29" i="11"/>
  <c r="U29" i="11"/>
  <c r="S29" i="11"/>
  <c r="R29" i="11"/>
  <c r="Q29" i="11"/>
  <c r="P29" i="11"/>
  <c r="O29" i="11"/>
  <c r="I29" i="11"/>
  <c r="G29" i="11"/>
  <c r="D29" i="11"/>
  <c r="C29" i="11"/>
  <c r="AH28" i="11"/>
  <c r="AG28" i="11" s="1"/>
  <c r="AE28" i="11"/>
  <c r="AC28" i="11"/>
  <c r="AB28" i="11"/>
  <c r="AA28" i="11"/>
  <c r="AD28" i="11" s="1"/>
  <c r="Y28" i="11"/>
  <c r="X28" i="11"/>
  <c r="V28" i="11"/>
  <c r="W28" i="11" s="1"/>
  <c r="U28" i="11"/>
  <c r="R28" i="11"/>
  <c r="Z28" i="11" s="1"/>
  <c r="P28" i="11"/>
  <c r="Q28" i="11" s="1"/>
  <c r="O28" i="11"/>
  <c r="I28" i="11"/>
  <c r="G28" i="11"/>
  <c r="D28" i="11"/>
  <c r="C28" i="11"/>
  <c r="AH27" i="11"/>
  <c r="AG27" i="11"/>
  <c r="AE27" i="11"/>
  <c r="AF27" i="11" s="1"/>
  <c r="AD27" i="11"/>
  <c r="AC27" i="11"/>
  <c r="AB27" i="11"/>
  <c r="AA27" i="11"/>
  <c r="Y27" i="11"/>
  <c r="X27" i="11"/>
  <c r="W27" i="11"/>
  <c r="V27" i="11"/>
  <c r="U27" i="11"/>
  <c r="R27" i="11"/>
  <c r="Z27" i="11" s="1"/>
  <c r="Q27" i="11"/>
  <c r="P27" i="11"/>
  <c r="O27" i="11"/>
  <c r="I27" i="11"/>
  <c r="G27" i="11"/>
  <c r="D27" i="11"/>
  <c r="C27" i="11"/>
  <c r="AH26" i="11"/>
  <c r="AG26" i="11" s="1"/>
  <c r="AF26" i="11"/>
  <c r="AE26" i="11"/>
  <c r="AD26" i="11"/>
  <c r="AC26" i="11"/>
  <c r="AB26" i="11"/>
  <c r="X26" i="11"/>
  <c r="Y26" i="11" s="1"/>
  <c r="W26" i="11"/>
  <c r="V26" i="11"/>
  <c r="U26" i="11"/>
  <c r="R26" i="11"/>
  <c r="Z26" i="11" s="1"/>
  <c r="P26" i="11"/>
  <c r="Q26" i="11" s="1"/>
  <c r="O26" i="11"/>
  <c r="I26" i="11"/>
  <c r="G26" i="11"/>
  <c r="D26" i="11"/>
  <c r="C26" i="11"/>
  <c r="AC25" i="11"/>
  <c r="AB25" i="11"/>
  <c r="AA25" i="11"/>
  <c r="AH25" i="11" s="1"/>
  <c r="AG25" i="11" s="1"/>
  <c r="Y25" i="11"/>
  <c r="X25" i="11"/>
  <c r="V25" i="11"/>
  <c r="W25" i="11" s="1"/>
  <c r="U25" i="11"/>
  <c r="S25" i="11"/>
  <c r="R25" i="11"/>
  <c r="Z25" i="11" s="1"/>
  <c r="Q25" i="11"/>
  <c r="P25" i="11"/>
  <c r="O25" i="11"/>
  <c r="I25" i="11"/>
  <c r="G25" i="11"/>
  <c r="D25" i="11"/>
  <c r="C25" i="11"/>
  <c r="AH24" i="11"/>
  <c r="AG24" i="11"/>
  <c r="AF24" i="11"/>
  <c r="AE24" i="11"/>
  <c r="AD24" i="11"/>
  <c r="AC24" i="11"/>
  <c r="AB24" i="11"/>
  <c r="Z24" i="11"/>
  <c r="Y24" i="11"/>
  <c r="X24" i="11"/>
  <c r="W24" i="11"/>
  <c r="V24" i="11"/>
  <c r="U24" i="11"/>
  <c r="S24" i="11"/>
  <c r="R24" i="11"/>
  <c r="Q24" i="11"/>
  <c r="P24" i="11"/>
  <c r="O24" i="11"/>
  <c r="I24" i="11"/>
  <c r="G24" i="11"/>
  <c r="D24" i="11"/>
  <c r="C24" i="11"/>
  <c r="AH23" i="11"/>
  <c r="AG23" i="11" s="1"/>
  <c r="AE23" i="11"/>
  <c r="AF23" i="11" s="1"/>
  <c r="AB23" i="11"/>
  <c r="AA23" i="11"/>
  <c r="AD23" i="11" s="1"/>
  <c r="X23" i="11"/>
  <c r="Y23" i="11" s="1"/>
  <c r="V23" i="11"/>
  <c r="W23" i="11" s="1"/>
  <c r="U23" i="11"/>
  <c r="R23" i="11"/>
  <c r="S23" i="11" s="1"/>
  <c r="Q23" i="11"/>
  <c r="P23" i="11"/>
  <c r="O23" i="11"/>
  <c r="I23" i="11"/>
  <c r="G23" i="11"/>
  <c r="D23" i="11"/>
  <c r="C23" i="11"/>
  <c r="AH22" i="11"/>
  <c r="AG22" i="11"/>
  <c r="AE22" i="11"/>
  <c r="AF22" i="11" s="1"/>
  <c r="AD22" i="11"/>
  <c r="AC22" i="11"/>
  <c r="AB22" i="11"/>
  <c r="AA22" i="11"/>
  <c r="X22" i="11"/>
  <c r="Z22" i="11" s="1"/>
  <c r="W22" i="11"/>
  <c r="V22" i="11"/>
  <c r="U22" i="11"/>
  <c r="R22" i="11"/>
  <c r="S22" i="11" s="1"/>
  <c r="Q22" i="11"/>
  <c r="P22" i="11"/>
  <c r="O22" i="11"/>
  <c r="I22" i="11"/>
  <c r="G22" i="11"/>
  <c r="D22" i="11"/>
  <c r="C22" i="11"/>
  <c r="AH21" i="11"/>
  <c r="AG21" i="11" s="1"/>
  <c r="AF21" i="11"/>
  <c r="AE21" i="11"/>
  <c r="AD21" i="11"/>
  <c r="AC21" i="11"/>
  <c r="AB21" i="11"/>
  <c r="X21" i="11"/>
  <c r="Z21" i="11" s="1"/>
  <c r="V21" i="11"/>
  <c r="W21" i="11" s="1"/>
  <c r="U21" i="11"/>
  <c r="R21" i="11"/>
  <c r="S21" i="11" s="1"/>
  <c r="P21" i="11"/>
  <c r="Q21" i="11" s="1"/>
  <c r="O21" i="11"/>
  <c r="I21" i="11"/>
  <c r="G21" i="11"/>
  <c r="D21" i="11"/>
  <c r="C21" i="11"/>
  <c r="AH20" i="11"/>
  <c r="AG20" i="11"/>
  <c r="AB20" i="11"/>
  <c r="AA20" i="11"/>
  <c r="AE20" i="11" s="1"/>
  <c r="Z20" i="11"/>
  <c r="Y20" i="11"/>
  <c r="X20" i="11"/>
  <c r="W20" i="11"/>
  <c r="V20" i="11"/>
  <c r="U20" i="11"/>
  <c r="S20" i="11"/>
  <c r="R20" i="11"/>
  <c r="Q20" i="11"/>
  <c r="P20" i="11"/>
  <c r="O20" i="11"/>
  <c r="I20" i="11"/>
  <c r="G20" i="11"/>
  <c r="D20" i="11"/>
  <c r="C20" i="11"/>
  <c r="AH19" i="11"/>
  <c r="AG19" i="11" s="1"/>
  <c r="AE19" i="11"/>
  <c r="AC19" i="11"/>
  <c r="AB19" i="11"/>
  <c r="AA19" i="11"/>
  <c r="AD19" i="11" s="1"/>
  <c r="Y19" i="11"/>
  <c r="X19" i="11"/>
  <c r="V19" i="11"/>
  <c r="W19" i="11" s="1"/>
  <c r="U19" i="11"/>
  <c r="R19" i="11"/>
  <c r="Z19" i="11" s="1"/>
  <c r="P19" i="11"/>
  <c r="Q19" i="11" s="1"/>
  <c r="O19" i="11"/>
  <c r="I19" i="11"/>
  <c r="G19" i="11"/>
  <c r="D19" i="11"/>
  <c r="C19" i="11"/>
  <c r="AH18" i="11"/>
  <c r="AG18" i="11"/>
  <c r="AF18" i="11"/>
  <c r="AE18" i="11"/>
  <c r="AD18" i="11"/>
  <c r="AC18" i="11"/>
  <c r="AB18" i="11"/>
  <c r="X18" i="11"/>
  <c r="Z18" i="11" s="1"/>
  <c r="W18" i="11"/>
  <c r="V18" i="11"/>
  <c r="U18" i="11"/>
  <c r="S18" i="11"/>
  <c r="R18" i="11"/>
  <c r="P18" i="11"/>
  <c r="Q18" i="11" s="1"/>
  <c r="O18" i="11"/>
  <c r="I18" i="11"/>
  <c r="G18" i="11"/>
  <c r="D18" i="11"/>
  <c r="C18" i="11"/>
  <c r="AH17" i="11"/>
  <c r="AG17" i="11" s="1"/>
  <c r="AE17" i="11"/>
  <c r="AF17" i="11" s="1"/>
  <c r="AD17" i="11"/>
  <c r="AC17" i="11"/>
  <c r="AB17" i="11"/>
  <c r="AA17" i="11"/>
  <c r="X17" i="11"/>
  <c r="Y17" i="11" s="1"/>
  <c r="W17" i="11"/>
  <c r="V17" i="11"/>
  <c r="U17" i="11"/>
  <c r="R17" i="11"/>
  <c r="Z17" i="11" s="1"/>
  <c r="P17" i="11"/>
  <c r="Q17" i="11" s="1"/>
  <c r="O17" i="11"/>
  <c r="I17" i="11"/>
  <c r="G17" i="11"/>
  <c r="D17" i="11"/>
  <c r="C17" i="11"/>
  <c r="AH16" i="11"/>
  <c r="AG16" i="11" s="1"/>
  <c r="AB16" i="11"/>
  <c r="AA16" i="11"/>
  <c r="AE16" i="11" s="1"/>
  <c r="Z16" i="11"/>
  <c r="Y16" i="11"/>
  <c r="X16" i="11"/>
  <c r="V16" i="11"/>
  <c r="W16" i="11" s="1"/>
  <c r="U16" i="11"/>
  <c r="S16" i="11"/>
  <c r="R16" i="11"/>
  <c r="Q16" i="11"/>
  <c r="P16" i="11"/>
  <c r="O16" i="11"/>
  <c r="I16" i="11"/>
  <c r="G16" i="11"/>
  <c r="D16" i="11"/>
  <c r="C16" i="11"/>
  <c r="AC15" i="11"/>
  <c r="AB15" i="11"/>
  <c r="AA15" i="11"/>
  <c r="AH15" i="11" s="1"/>
  <c r="AG15" i="11" s="1"/>
  <c r="Z15" i="11"/>
  <c r="X15" i="11"/>
  <c r="Y15" i="11" s="1"/>
  <c r="V15" i="11"/>
  <c r="W15" i="11" s="1"/>
  <c r="U15" i="11"/>
  <c r="S15" i="11"/>
  <c r="R15" i="11"/>
  <c r="P15" i="11"/>
  <c r="Q15" i="11" s="1"/>
  <c r="O15" i="11"/>
  <c r="I15" i="11"/>
  <c r="G15" i="11"/>
  <c r="D15" i="11"/>
  <c r="C15" i="11"/>
  <c r="AH14" i="11"/>
  <c r="AG14" i="11"/>
  <c r="AE14" i="11"/>
  <c r="AB14" i="11"/>
  <c r="AA14" i="11"/>
  <c r="AD14" i="11" s="1"/>
  <c r="AF14" i="11" s="1"/>
  <c r="Z14" i="11"/>
  <c r="Y14" i="11"/>
  <c r="X14" i="11"/>
  <c r="W14" i="11"/>
  <c r="V14" i="11"/>
  <c r="U14" i="11"/>
  <c r="S14" i="11"/>
  <c r="R14" i="11"/>
  <c r="Q14" i="11"/>
  <c r="P14" i="11"/>
  <c r="O14" i="11"/>
  <c r="I14" i="11"/>
  <c r="G14" i="11"/>
  <c r="D14" i="11"/>
  <c r="C14" i="11"/>
  <c r="AH13" i="11"/>
  <c r="AG13" i="11" s="1"/>
  <c r="AF13" i="11"/>
  <c r="AE13" i="11"/>
  <c r="AD13" i="11"/>
  <c r="AC13" i="11"/>
  <c r="AB13" i="11"/>
  <c r="X13" i="11"/>
  <c r="Z13" i="11" s="1"/>
  <c r="W13" i="11"/>
  <c r="V13" i="11"/>
  <c r="U13" i="11"/>
  <c r="R13" i="11"/>
  <c r="S13" i="11" s="1"/>
  <c r="Q13" i="11"/>
  <c r="P13" i="11"/>
  <c r="O13" i="11"/>
  <c r="I13" i="11"/>
  <c r="G13" i="11"/>
  <c r="D13" i="11"/>
  <c r="C13" i="11"/>
  <c r="AH12" i="11"/>
  <c r="AG12" i="11" s="1"/>
  <c r="AC12" i="11"/>
  <c r="AB12" i="11"/>
  <c r="AA12" i="11"/>
  <c r="AE12" i="11" s="1"/>
  <c r="Y12" i="11"/>
  <c r="X12" i="11"/>
  <c r="Z12" i="11" s="1"/>
  <c r="V12" i="11"/>
  <c r="W12" i="11" s="1"/>
  <c r="U12" i="11"/>
  <c r="S12" i="11"/>
  <c r="R12" i="11"/>
  <c r="P12" i="11"/>
  <c r="Q12" i="11" s="1"/>
  <c r="O12" i="11"/>
  <c r="I12" i="11"/>
  <c r="G12" i="11"/>
  <c r="D12" i="11"/>
  <c r="C12" i="11"/>
  <c r="AH11" i="11"/>
  <c r="AG11" i="11"/>
  <c r="AB11" i="11"/>
  <c r="AA11" i="11"/>
  <c r="AE11" i="11" s="1"/>
  <c r="X11" i="11"/>
  <c r="Z11" i="11" s="1"/>
  <c r="V11" i="11"/>
  <c r="W11" i="11" s="1"/>
  <c r="U11" i="11"/>
  <c r="R11" i="11"/>
  <c r="S11" i="11" s="1"/>
  <c r="P11" i="11"/>
  <c r="Q11" i="11" s="1"/>
  <c r="O11" i="11"/>
  <c r="I11" i="11"/>
  <c r="G11" i="11"/>
  <c r="D11" i="11"/>
  <c r="C11" i="11"/>
  <c r="AH10" i="11"/>
  <c r="AG10" i="11"/>
  <c r="AF10" i="11"/>
  <c r="AE10" i="11"/>
  <c r="AD10" i="11"/>
  <c r="AC10" i="11"/>
  <c r="AB10" i="11"/>
  <c r="Y10" i="11"/>
  <c r="X10" i="11"/>
  <c r="V10" i="11"/>
  <c r="W10" i="11" s="1"/>
  <c r="U10" i="11"/>
  <c r="R10" i="11"/>
  <c r="Z10" i="11" s="1"/>
  <c r="P10" i="11"/>
  <c r="Q10" i="11" s="1"/>
  <c r="O10" i="11"/>
  <c r="I10" i="11"/>
  <c r="G10" i="11"/>
  <c r="D10" i="11"/>
  <c r="C10" i="11"/>
  <c r="AH9" i="11"/>
  <c r="AG9" i="11"/>
  <c r="AE9" i="11"/>
  <c r="AF9" i="11" s="1"/>
  <c r="AD9" i="11"/>
  <c r="AC9" i="11"/>
  <c r="AB9" i="11"/>
  <c r="AA9" i="11"/>
  <c r="Y9" i="11"/>
  <c r="X9" i="11"/>
  <c r="Z9" i="11" s="1"/>
  <c r="W9" i="11"/>
  <c r="V9" i="11"/>
  <c r="U9" i="11"/>
  <c r="R9" i="11"/>
  <c r="S9" i="11" s="1"/>
  <c r="Q9" i="11"/>
  <c r="P9" i="11"/>
  <c r="O9" i="11"/>
  <c r="I9" i="11"/>
  <c r="G9" i="11"/>
  <c r="D9" i="11"/>
  <c r="C9" i="11"/>
  <c r="AH8" i="11"/>
  <c r="AG8" i="11" s="1"/>
  <c r="AF8" i="11"/>
  <c r="AE8" i="11"/>
  <c r="AD8" i="11"/>
  <c r="AC8" i="11"/>
  <c r="AB8" i="11"/>
  <c r="X8" i="11"/>
  <c r="Y8" i="11" s="1"/>
  <c r="W8" i="11"/>
  <c r="V8" i="11"/>
  <c r="U8" i="11"/>
  <c r="R8" i="11"/>
  <c r="Z8" i="11" s="1"/>
  <c r="P8" i="11"/>
  <c r="Q8" i="11" s="1"/>
  <c r="O8" i="11"/>
  <c r="I8" i="11"/>
  <c r="G8" i="11"/>
  <c r="D8" i="11"/>
  <c r="C8" i="11"/>
  <c r="AH7" i="11"/>
  <c r="AG7" i="11" s="1"/>
  <c r="AB7" i="11"/>
  <c r="AA7" i="11"/>
  <c r="AE7" i="11" s="1"/>
  <c r="Z7" i="11"/>
  <c r="Y7" i="11"/>
  <c r="X7" i="11"/>
  <c r="V7" i="11"/>
  <c r="W7" i="11" s="1"/>
  <c r="U7" i="11"/>
  <c r="S7" i="11"/>
  <c r="R7" i="11"/>
  <c r="Q7" i="11"/>
  <c r="P7" i="11"/>
  <c r="O7" i="11"/>
  <c r="I7" i="11"/>
  <c r="G7" i="11"/>
  <c r="D7" i="11"/>
  <c r="C7" i="11"/>
  <c r="AH6" i="11"/>
  <c r="AG6" i="11"/>
  <c r="AB6" i="11"/>
  <c r="AA6" i="11"/>
  <c r="AE6" i="11" s="1"/>
  <c r="Z6" i="11"/>
  <c r="X6" i="11"/>
  <c r="Y6" i="11" s="1"/>
  <c r="V6" i="11"/>
  <c r="W6" i="11" s="1"/>
  <c r="U6" i="11"/>
  <c r="S6" i="11"/>
  <c r="R6" i="11"/>
  <c r="P6" i="11"/>
  <c r="Q6" i="11" s="1"/>
  <c r="O6" i="11"/>
  <c r="I6" i="11"/>
  <c r="G6" i="11"/>
  <c r="D6" i="11"/>
  <c r="C6" i="11"/>
  <c r="AH5" i="11"/>
  <c r="AG5" i="11"/>
  <c r="AF5" i="11"/>
  <c r="AE5" i="11"/>
  <c r="AD5" i="11"/>
  <c r="AC5" i="11"/>
  <c r="AB5" i="11"/>
  <c r="X5" i="11"/>
  <c r="Y5" i="11" s="1"/>
  <c r="V5" i="11"/>
  <c r="W5" i="11" s="1"/>
  <c r="U5" i="11"/>
  <c r="R5" i="11"/>
  <c r="S5" i="11" s="1"/>
  <c r="Q5" i="11"/>
  <c r="P5" i="11"/>
  <c r="O5" i="11"/>
  <c r="I5" i="11"/>
  <c r="G5" i="11"/>
  <c r="D5" i="11"/>
  <c r="C5" i="11"/>
  <c r="AH4" i="11"/>
  <c r="AG4" i="11"/>
  <c r="AE4" i="11"/>
  <c r="AD4" i="11"/>
  <c r="AC4" i="11"/>
  <c r="AB4" i="11"/>
  <c r="AA4" i="11"/>
  <c r="X4" i="11"/>
  <c r="Y4" i="11" s="1"/>
  <c r="W4" i="11"/>
  <c r="V4" i="11"/>
  <c r="U4" i="11"/>
  <c r="R4" i="11"/>
  <c r="Q4" i="11"/>
  <c r="P4" i="11"/>
  <c r="O4" i="11"/>
  <c r="I4" i="11"/>
  <c r="G4" i="11"/>
  <c r="D4" i="11"/>
  <c r="C4" i="11"/>
  <c r="AH3" i="11"/>
  <c r="AG3" i="11" s="1"/>
  <c r="AF3" i="11"/>
  <c r="AE3" i="11"/>
  <c r="AD3" i="11"/>
  <c r="AC3" i="11"/>
  <c r="AB3" i="11"/>
  <c r="X3" i="11"/>
  <c r="Z3" i="11" s="1"/>
  <c r="V3" i="11"/>
  <c r="W3" i="11" s="1"/>
  <c r="U3" i="11"/>
  <c r="R3" i="11"/>
  <c r="S3" i="11" s="1"/>
  <c r="P3" i="11"/>
  <c r="Q3" i="11" s="1"/>
  <c r="O3" i="11"/>
  <c r="I3" i="11"/>
  <c r="G3" i="11"/>
  <c r="D3" i="11"/>
  <c r="C3" i="11"/>
  <c r="A2" i="2"/>
  <c r="AF19" i="11" l="1"/>
  <c r="AF45" i="11"/>
  <c r="AF59" i="11"/>
  <c r="AF28" i="11"/>
  <c r="AF36" i="11"/>
  <c r="AF33" i="11"/>
  <c r="AF55" i="11"/>
  <c r="W115" i="11"/>
  <c r="AF16" i="11"/>
  <c r="AF12" i="11"/>
  <c r="AF37" i="11"/>
  <c r="AF103" i="11"/>
  <c r="Z5" i="11"/>
  <c r="AC7" i="11"/>
  <c r="Y13" i="11"/>
  <c r="AC16" i="11"/>
  <c r="Y22" i="11"/>
  <c r="Z23" i="11"/>
  <c r="S27" i="11"/>
  <c r="Z31" i="11"/>
  <c r="AC33" i="11"/>
  <c r="S35" i="11"/>
  <c r="AH36" i="11"/>
  <c r="AG36" i="11" s="1"/>
  <c r="AG115" i="11" s="1"/>
  <c r="Y39" i="11"/>
  <c r="S43" i="11"/>
  <c r="Y47" i="11"/>
  <c r="AC50" i="11"/>
  <c r="S52" i="11"/>
  <c r="Z57" i="11"/>
  <c r="S62" i="11"/>
  <c r="AH63" i="11"/>
  <c r="AG63" i="11" s="1"/>
  <c r="Z65" i="11"/>
  <c r="Z69" i="11"/>
  <c r="Y69" i="11"/>
  <c r="AE75" i="11"/>
  <c r="AD75" i="11"/>
  <c r="AD115" i="11" s="1"/>
  <c r="AF96" i="11"/>
  <c r="AF107" i="11"/>
  <c r="S19" i="11"/>
  <c r="S28" i="11"/>
  <c r="Z4" i="11"/>
  <c r="AC6" i="11"/>
  <c r="AD7" i="11"/>
  <c r="AF7" i="11" s="1"/>
  <c r="AD25" i="11"/>
  <c r="AC49" i="11"/>
  <c r="AD50" i="11"/>
  <c r="AF50" i="11" s="1"/>
  <c r="AC59" i="11"/>
  <c r="AE73" i="11"/>
  <c r="AC73" i="11"/>
  <c r="AE82" i="11"/>
  <c r="AF82" i="11" s="1"/>
  <c r="AC82" i="11"/>
  <c r="S83" i="11"/>
  <c r="Z83" i="11"/>
  <c r="Z85" i="11"/>
  <c r="Y85" i="11"/>
  <c r="AF86" i="11"/>
  <c r="AD100" i="11"/>
  <c r="AC100" i="11"/>
  <c r="U118" i="11"/>
  <c r="T119" i="11" s="1"/>
  <c r="V119" i="11" s="1"/>
  <c r="H128" i="11"/>
  <c r="H125" i="11"/>
  <c r="AF67" i="11"/>
  <c r="D115" i="11"/>
  <c r="AD16" i="11"/>
  <c r="AD33" i="11"/>
  <c r="Y3" i="11"/>
  <c r="I115" i="11"/>
  <c r="AD6" i="11"/>
  <c r="AF6" i="11" s="1"/>
  <c r="S8" i="11"/>
  <c r="Y11" i="11"/>
  <c r="Y115" i="11" s="1"/>
  <c r="AC14" i="11"/>
  <c r="AC115" i="11" s="1"/>
  <c r="AD15" i="11"/>
  <c r="S17" i="11"/>
  <c r="Y21" i="11"/>
  <c r="AE25" i="11"/>
  <c r="S26" i="11"/>
  <c r="AD32" i="11"/>
  <c r="S34" i="11"/>
  <c r="Y37" i="11"/>
  <c r="S42" i="11"/>
  <c r="Y45" i="11"/>
  <c r="AD49" i="11"/>
  <c r="AF49" i="11" s="1"/>
  <c r="S51" i="11"/>
  <c r="Y55" i="11"/>
  <c r="AD59" i="11"/>
  <c r="Y64" i="11"/>
  <c r="AD66" i="11"/>
  <c r="AF66" i="11" s="1"/>
  <c r="AC75" i="11"/>
  <c r="Z79" i="11"/>
  <c r="Y79" i="11"/>
  <c r="S84" i="11"/>
  <c r="Z97" i="11"/>
  <c r="Y97" i="11"/>
  <c r="X115" i="11"/>
  <c r="Z115" i="11" s="1"/>
  <c r="S10" i="11"/>
  <c r="S44" i="11"/>
  <c r="O115" i="11"/>
  <c r="AB115" i="11"/>
  <c r="AE15" i="11"/>
  <c r="AF15" i="11" s="1"/>
  <c r="AC23" i="11"/>
  <c r="AE32" i="11"/>
  <c r="AF32" i="11" s="1"/>
  <c r="AD40" i="11"/>
  <c r="AD48" i="11"/>
  <c r="AC57" i="11"/>
  <c r="AD58" i="11"/>
  <c r="AF58" i="11" s="1"/>
  <c r="AC65" i="11"/>
  <c r="AD73" i="11"/>
  <c r="AD82" i="11"/>
  <c r="Z87" i="11"/>
  <c r="Y87" i="11"/>
  <c r="AE100" i="11"/>
  <c r="AC91" i="17"/>
  <c r="AC90" i="17"/>
  <c r="P115" i="11"/>
  <c r="AE40" i="11"/>
  <c r="AE48" i="11"/>
  <c r="AE65" i="11"/>
  <c r="AF65" i="11" s="1"/>
  <c r="Y81" i="11"/>
  <c r="AE87" i="11"/>
  <c r="AD87" i="11"/>
  <c r="AH87" i="11"/>
  <c r="AG87" i="11" s="1"/>
  <c r="AG117" i="11" s="1"/>
  <c r="AG118" i="11" s="1"/>
  <c r="AG119" i="11" s="1"/>
  <c r="L86" i="12"/>
  <c r="AD91" i="17"/>
  <c r="AD90" i="17"/>
  <c r="Z53" i="11"/>
  <c r="AH66" i="11"/>
  <c r="AG66" i="11" s="1"/>
  <c r="Z71" i="11"/>
  <c r="Y71" i="11"/>
  <c r="AH83" i="11"/>
  <c r="AG83" i="11" s="1"/>
  <c r="AD83" i="11"/>
  <c r="AH89" i="11"/>
  <c r="AG89" i="11" s="1"/>
  <c r="AE89" i="11"/>
  <c r="Z106" i="11"/>
  <c r="Y106" i="11"/>
  <c r="Z113" i="11"/>
  <c r="Y113" i="11"/>
  <c r="AF114" i="11"/>
  <c r="R115" i="11"/>
  <c r="AC11" i="11"/>
  <c r="Y61" i="11"/>
  <c r="Y67" i="11"/>
  <c r="Z76" i="11"/>
  <c r="AE106" i="11"/>
  <c r="AD106" i="11"/>
  <c r="AH106" i="11"/>
  <c r="AG106" i="11" s="1"/>
  <c r="I90" i="17"/>
  <c r="I91" i="17"/>
  <c r="U90" i="17"/>
  <c r="U91" i="17"/>
  <c r="AD12" i="11"/>
  <c r="Y18" i="11"/>
  <c r="S4" i="11"/>
  <c r="AF4" i="11"/>
  <c r="AD11" i="11"/>
  <c r="AF11" i="11" s="1"/>
  <c r="AC20" i="11"/>
  <c r="AC54" i="11"/>
  <c r="AE64" i="11"/>
  <c r="AF64" i="11" s="1"/>
  <c r="AF76" i="11"/>
  <c r="Y88" i="11"/>
  <c r="Z94" i="11"/>
  <c r="Y94" i="11"/>
  <c r="Q115" i="11"/>
  <c r="AD20" i="11"/>
  <c r="AF20" i="11" s="1"/>
  <c r="AD36" i="11"/>
  <c r="AD54" i="11"/>
  <c r="AF54" i="11" s="1"/>
  <c r="AD63" i="11"/>
  <c r="AF63" i="11" s="1"/>
  <c r="AE83" i="11"/>
  <c r="AF83" i="11" s="1"/>
  <c r="AD89" i="11"/>
  <c r="AH90" i="11"/>
  <c r="AG90" i="11" s="1"/>
  <c r="AD90" i="11"/>
  <c r="AF90" i="11" s="1"/>
  <c r="V123" i="11"/>
  <c r="U115" i="11"/>
  <c r="V115" i="11"/>
  <c r="AE74" i="11"/>
  <c r="AF74" i="11" s="1"/>
  <c r="AE99" i="11"/>
  <c r="AF99" i="11" s="1"/>
  <c r="AC99" i="11"/>
  <c r="Y107" i="11"/>
  <c r="K90" i="17"/>
  <c r="K91" i="17"/>
  <c r="W90" i="17"/>
  <c r="W91" i="17"/>
  <c r="Z90" i="11"/>
  <c r="AE94" i="11"/>
  <c r="AF94" i="11" s="1"/>
  <c r="Z100" i="11"/>
  <c r="I5" i="12"/>
  <c r="I8" i="12"/>
  <c r="I11" i="12"/>
  <c r="I14" i="12"/>
  <c r="I17" i="12"/>
  <c r="I20" i="12"/>
  <c r="I23" i="12"/>
  <c r="I26" i="12"/>
  <c r="I29" i="12"/>
  <c r="I32" i="12"/>
  <c r="I35" i="12"/>
  <c r="I38" i="12"/>
  <c r="I41" i="12"/>
  <c r="I44" i="12"/>
  <c r="I47" i="12"/>
  <c r="I50" i="12"/>
  <c r="I53" i="12"/>
  <c r="I56" i="12"/>
  <c r="I59" i="12"/>
  <c r="I62" i="12"/>
  <c r="I65" i="12"/>
  <c r="I68" i="12"/>
  <c r="I71" i="12"/>
  <c r="I74" i="12"/>
  <c r="I77" i="12"/>
  <c r="I80" i="12"/>
  <c r="I83" i="12"/>
  <c r="H88" i="17"/>
  <c r="C88" i="17" s="1"/>
  <c r="T88" i="17"/>
  <c r="J5" i="12"/>
  <c r="J8" i="12"/>
  <c r="J11" i="12"/>
  <c r="J14" i="12"/>
  <c r="J17" i="12"/>
  <c r="J20" i="12"/>
  <c r="J23" i="12"/>
  <c r="J26" i="12"/>
  <c r="J29" i="12"/>
  <c r="J32" i="12"/>
  <c r="J35" i="12"/>
  <c r="J38" i="12"/>
  <c r="J41" i="12"/>
  <c r="J44" i="12"/>
  <c r="J47" i="12"/>
  <c r="J50" i="12"/>
  <c r="J53" i="12"/>
  <c r="J56" i="12"/>
  <c r="J59" i="12"/>
  <c r="J62" i="12"/>
  <c r="J65" i="12"/>
  <c r="J68" i="12"/>
  <c r="J71" i="12"/>
  <c r="J74" i="12"/>
  <c r="J77" i="12"/>
  <c r="J80" i="12"/>
  <c r="J83" i="12"/>
  <c r="M87" i="17"/>
  <c r="Y87" i="17"/>
  <c r="N87" i="17"/>
  <c r="Z87" i="17"/>
  <c r="J91" i="17"/>
  <c r="V91" i="17"/>
  <c r="AD91" i="11"/>
  <c r="AF91" i="11" s="1"/>
  <c r="AD101" i="11"/>
  <c r="AF101" i="11" s="1"/>
  <c r="AD110" i="11"/>
  <c r="AF110" i="11" s="1"/>
  <c r="B119" i="11"/>
  <c r="O87" i="17"/>
  <c r="AA87" i="17"/>
  <c r="K88" i="17"/>
  <c r="W88" i="17"/>
  <c r="I4" i="12"/>
  <c r="I86" i="12" s="1"/>
  <c r="I7" i="12"/>
  <c r="I10" i="12"/>
  <c r="I13" i="12"/>
  <c r="I16" i="12"/>
  <c r="I19" i="12"/>
  <c r="I22" i="12"/>
  <c r="I25" i="12"/>
  <c r="I28" i="12"/>
  <c r="I31" i="12"/>
  <c r="I34" i="12"/>
  <c r="I37" i="12"/>
  <c r="I40" i="12"/>
  <c r="I43" i="12"/>
  <c r="I46" i="12"/>
  <c r="I49" i="12"/>
  <c r="I52" i="12"/>
  <c r="I55" i="12"/>
  <c r="I58" i="12"/>
  <c r="I61" i="12"/>
  <c r="I64" i="12"/>
  <c r="I67" i="12"/>
  <c r="I70" i="12"/>
  <c r="I73" i="12"/>
  <c r="I76" i="12"/>
  <c r="I79" i="12"/>
  <c r="I82" i="12"/>
  <c r="P87" i="17"/>
  <c r="AB87" i="17"/>
  <c r="L91" i="17"/>
  <c r="X91" i="17"/>
  <c r="J4" i="12"/>
  <c r="J86" i="12" s="1"/>
  <c r="E87" i="17"/>
  <c r="Q87" i="17"/>
  <c r="AC107" i="11"/>
  <c r="D132" i="11"/>
  <c r="F87" i="17"/>
  <c r="R87" i="17"/>
  <c r="G87" i="17"/>
  <c r="S87" i="17"/>
  <c r="AE87" i="17"/>
  <c r="H87" i="17"/>
  <c r="T87" i="17"/>
  <c r="Y92" i="11"/>
  <c r="AC95" i="11"/>
  <c r="Y111" i="11"/>
  <c r="AC88" i="17"/>
  <c r="I87" i="12" l="1"/>
  <c r="AF75" i="11"/>
  <c r="M91" i="17"/>
  <c r="M90" i="17"/>
  <c r="C89" i="17"/>
  <c r="B89" i="17" s="1"/>
  <c r="AF89" i="11"/>
  <c r="Q91" i="17"/>
  <c r="Q90" i="17"/>
  <c r="E91" i="17"/>
  <c r="E90" i="17"/>
  <c r="C87" i="17"/>
  <c r="AE91" i="17"/>
  <c r="AE90" i="17"/>
  <c r="AB91" i="17"/>
  <c r="AB90" i="17"/>
  <c r="AF106" i="11"/>
  <c r="O91" i="17"/>
  <c r="O90" i="17"/>
  <c r="S91" i="17"/>
  <c r="S90" i="17"/>
  <c r="P91" i="17"/>
  <c r="P90" i="17"/>
  <c r="S115" i="11"/>
  <c r="AF87" i="11"/>
  <c r="AF100" i="11"/>
  <c r="AH115" i="11"/>
  <c r="AF25" i="11"/>
  <c r="AF115" i="11" s="1"/>
  <c r="M124" i="11"/>
  <c r="V122" i="11"/>
  <c r="V124" i="11" s="1"/>
  <c r="G91" i="17"/>
  <c r="G90" i="17"/>
  <c r="R91" i="17"/>
  <c r="R90" i="17"/>
  <c r="AH117" i="11"/>
  <c r="AA91" i="17"/>
  <c r="AA90" i="17"/>
  <c r="T90" i="17"/>
  <c r="T91" i="17"/>
  <c r="F91" i="17"/>
  <c r="F90" i="17"/>
  <c r="N91" i="17"/>
  <c r="N90" i="17"/>
  <c r="V116" i="11"/>
  <c r="AE115" i="11"/>
  <c r="AF48" i="11"/>
  <c r="H90" i="17"/>
  <c r="H91" i="17"/>
  <c r="Z91" i="17"/>
  <c r="Z90" i="17"/>
  <c r="Y91" i="17"/>
  <c r="Y90" i="17"/>
  <c r="AF40" i="11"/>
  <c r="AF73" i="11"/>
  <c r="U116" i="11" l="1"/>
  <c r="V117" i="11"/>
  <c r="V118" i="11"/>
  <c r="V120" i="11" s="1"/>
  <c r="V121" i="11" s="1"/>
  <c r="C90" i="17"/>
  <c r="B90" i="17" s="1"/>
  <c r="C91" i="17"/>
  <c r="B91" i="17" s="1"/>
  <c r="U124" i="11" l="1"/>
  <c r="S124" i="11" s="1"/>
  <c r="U123" i="11"/>
  <c r="S123" i="11" s="1"/>
  <c r="U122" i="11"/>
  <c r="S122" i="11" s="1"/>
</calcChain>
</file>

<file path=xl/sharedStrings.xml><?xml version="1.0" encoding="utf-8"?>
<sst xmlns="http://schemas.openxmlformats.org/spreadsheetml/2006/main" count="3273" uniqueCount="563">
  <si>
    <t>Status</t>
  </si>
  <si>
    <t>Plan</t>
  </si>
  <si>
    <t>Short distance to PE&gt;&gt;Force Entry// Long Review PE</t>
  </si>
  <si>
    <t>Red: below PE  Entry</t>
  </si>
  <si>
    <t>Etiquetas de fila</t>
  </si>
  <si>
    <t>Suma de Ammount</t>
  </si>
  <si>
    <t>Promedio de Ratio</t>
  </si>
  <si>
    <t>Promedio de date plan</t>
  </si>
  <si>
    <t>Promedio de PE</t>
  </si>
  <si>
    <t>Promedio de Latest Q</t>
  </si>
  <si>
    <t>Promedio de LQ % to PE</t>
  </si>
  <si>
    <t>Promedio de Trend</t>
  </si>
  <si>
    <t>Suma de Success</t>
  </si>
  <si>
    <t>MSFT</t>
  </si>
  <si>
    <t>CIRSA</t>
  </si>
  <si>
    <t>ALC</t>
  </si>
  <si>
    <t>MGT</t>
  </si>
  <si>
    <t>SLR</t>
  </si>
  <si>
    <t>ALM</t>
  </si>
  <si>
    <t>NTGY</t>
  </si>
  <si>
    <t>NVGS</t>
  </si>
  <si>
    <t>HOME</t>
  </si>
  <si>
    <t>SCYR</t>
  </si>
  <si>
    <t>ABIN</t>
  </si>
  <si>
    <t>AIR:FP</t>
  </si>
  <si>
    <t>AMZN</t>
  </si>
  <si>
    <t>IBE</t>
  </si>
  <si>
    <t>AMP</t>
  </si>
  <si>
    <t>GOOGL</t>
  </si>
  <si>
    <t>MTX</t>
  </si>
  <si>
    <t>RTX</t>
  </si>
  <si>
    <t>SPX</t>
  </si>
  <si>
    <t>CABK</t>
  </si>
  <si>
    <t>GD</t>
  </si>
  <si>
    <t>ETN</t>
  </si>
  <si>
    <t>HON</t>
  </si>
  <si>
    <t>SAN</t>
  </si>
  <si>
    <t>BBVA</t>
  </si>
  <si>
    <t>MT</t>
  </si>
  <si>
    <t>ACX</t>
  </si>
  <si>
    <t>RR.</t>
  </si>
  <si>
    <t>IDR</t>
  </si>
  <si>
    <t>ROVI</t>
  </si>
  <si>
    <t>NOC</t>
  </si>
  <si>
    <t>GRE</t>
  </si>
  <si>
    <t>BA</t>
  </si>
  <si>
    <t>BAESY</t>
  </si>
  <si>
    <t>LHX</t>
  </si>
  <si>
    <t>THYSSENKRUPP</t>
  </si>
  <si>
    <t>UNI</t>
  </si>
  <si>
    <t>1RHM</t>
  </si>
  <si>
    <t>ASML</t>
  </si>
  <si>
    <t>LDO</t>
  </si>
  <si>
    <t>DIA</t>
  </si>
  <si>
    <t>AIR:NYSE</t>
  </si>
  <si>
    <t>LMT</t>
  </si>
  <si>
    <t>HII</t>
  </si>
  <si>
    <t>SAAB_B</t>
  </si>
  <si>
    <t>BSP</t>
  </si>
  <si>
    <t>Total general</t>
  </si>
  <si>
    <t>Open</t>
  </si>
  <si>
    <t>Negative: below S.L.&gt;&gt;&gt;Close</t>
  </si>
  <si>
    <t>Red: close to S.L. review</t>
  </si>
  <si>
    <t>Green: anticipate T.P.//else review</t>
  </si>
  <si>
    <t>Promedio de  @today</t>
  </si>
  <si>
    <t>Promedio de LQ % to SL</t>
  </si>
  <si>
    <t>Promedio de LQ % to TP</t>
  </si>
  <si>
    <t>FER</t>
  </si>
  <si>
    <t>ENG</t>
  </si>
  <si>
    <t>EBRO</t>
  </si>
  <si>
    <t>LDA</t>
  </si>
  <si>
    <t>ELE</t>
  </si>
  <si>
    <t>MEL</t>
  </si>
  <si>
    <t>BKT</t>
  </si>
  <si>
    <t>MAP</t>
  </si>
  <si>
    <t>IAG</t>
  </si>
  <si>
    <t>VOW</t>
  </si>
  <si>
    <t>V</t>
  </si>
  <si>
    <t>SND</t>
  </si>
  <si>
    <t>AMS</t>
  </si>
  <si>
    <t>MRL</t>
  </si>
  <si>
    <t>TEF</t>
  </si>
  <si>
    <t>REP</t>
  </si>
  <si>
    <t>META</t>
  </si>
  <si>
    <t>SAB</t>
  </si>
  <si>
    <t>LLY</t>
  </si>
  <si>
    <t>CASH</t>
  </si>
  <si>
    <t>NVDA</t>
  </si>
  <si>
    <t>PLTR</t>
  </si>
  <si>
    <t>CRWD</t>
  </si>
  <si>
    <t>HAG</t>
  </si>
  <si>
    <t>SQRL</t>
  </si>
  <si>
    <t>TUB</t>
  </si>
  <si>
    <t>OHLA</t>
  </si>
  <si>
    <t>DDOG</t>
  </si>
  <si>
    <t>Close</t>
  </si>
  <si>
    <t>Promedio de Close PT %</t>
  </si>
  <si>
    <t>Etiquetas de columna</t>
  </si>
  <si>
    <t>PLTR1</t>
  </si>
  <si>
    <t>UNI1</t>
  </si>
  <si>
    <t>AMP1</t>
  </si>
  <si>
    <t>BBVA1</t>
  </si>
  <si>
    <t>GRE1</t>
  </si>
  <si>
    <t>BAESY1</t>
  </si>
  <si>
    <t>BSP1</t>
  </si>
  <si>
    <t>HON1</t>
  </si>
  <si>
    <t>IDR1</t>
  </si>
  <si>
    <t>RTX1</t>
  </si>
  <si>
    <t>SAN1</t>
  </si>
  <si>
    <t>1RHM1</t>
  </si>
  <si>
    <t>ABIN1</t>
  </si>
  <si>
    <t>Promedio de Close SL %</t>
  </si>
  <si>
    <t>OHLA1</t>
  </si>
  <si>
    <t>CASH1</t>
  </si>
  <si>
    <t>NTGY1</t>
  </si>
  <si>
    <t>TEF1</t>
  </si>
  <si>
    <t>ENG1</t>
  </si>
  <si>
    <t>FER1</t>
  </si>
  <si>
    <t>CRWD1</t>
  </si>
  <si>
    <t>EBRO1</t>
  </si>
  <si>
    <t>LDA1</t>
  </si>
  <si>
    <t>NTGY2</t>
  </si>
  <si>
    <t>Promedio de date actual</t>
  </si>
  <si>
    <t>Promedio de delta TP</t>
  </si>
  <si>
    <t>Suma de Close PT Abs</t>
  </si>
  <si>
    <t>Promedio de delta SL</t>
  </si>
  <si>
    <t>Promedio de Close SL Abs</t>
  </si>
  <si>
    <t>AIR:FP1</t>
  </si>
  <si>
    <t>AIR:NYSE2</t>
  </si>
  <si>
    <t>ASML1</t>
  </si>
  <si>
    <t>CASH2</t>
  </si>
  <si>
    <t>CASH3</t>
  </si>
  <si>
    <t>CRWD2</t>
  </si>
  <si>
    <t>ELE1</t>
  </si>
  <si>
    <t>MEL1</t>
  </si>
  <si>
    <t>META1</t>
  </si>
  <si>
    <t>NTGY3</t>
  </si>
  <si>
    <t>TEF2</t>
  </si>
  <si>
    <t>V1</t>
  </si>
  <si>
    <t>VOW1</t>
  </si>
  <si>
    <t>Suma de Close SL Abs</t>
  </si>
  <si>
    <t>ENTRY FIELD</t>
  </si>
  <si>
    <t>CLOSED ENTRY</t>
  </si>
  <si>
    <t>CLOSED RESULTS</t>
  </si>
  <si>
    <t>PLAN/OPEN RESULTS</t>
  </si>
  <si>
    <t>OPEN</t>
  </si>
  <si>
    <t>PLAN</t>
  </si>
  <si>
    <t>#</t>
  </si>
  <si>
    <t>Ticker</t>
  </si>
  <si>
    <t>Success</t>
  </si>
  <si>
    <t>Ammount</t>
  </si>
  <si>
    <t>date plan</t>
  </si>
  <si>
    <t>Trend</t>
  </si>
  <si>
    <t>date actual</t>
  </si>
  <si>
    <t>delta</t>
  </si>
  <si>
    <t>PE</t>
  </si>
  <si>
    <t>SL</t>
  </si>
  <si>
    <t>TP</t>
  </si>
  <si>
    <t>Units</t>
  </si>
  <si>
    <t>Date SL</t>
  </si>
  <si>
    <t>delta SL</t>
  </si>
  <si>
    <t>Close SL Abs</t>
  </si>
  <si>
    <t>Close SL %</t>
  </si>
  <si>
    <t>Risk Abs</t>
  </si>
  <si>
    <t>Risk %</t>
  </si>
  <si>
    <t>Date TP</t>
  </si>
  <si>
    <t>delta TP</t>
  </si>
  <si>
    <t>Close PT Abs</t>
  </si>
  <si>
    <t>Close PT %</t>
  </si>
  <si>
    <t>Profit Abs.</t>
  </si>
  <si>
    <t>Profit %</t>
  </si>
  <si>
    <t>Ratio</t>
  </si>
  <si>
    <t>Latest Q</t>
  </si>
  <si>
    <t xml:space="preserve"> @today</t>
  </si>
  <si>
    <t>LQ % to PE</t>
  </si>
  <si>
    <t>LQ % to SL</t>
  </si>
  <si>
    <t>LQ % to TP</t>
  </si>
  <si>
    <t>TP/SL</t>
  </si>
  <si>
    <t>LQ  Abs to PE</t>
  </si>
  <si>
    <t>LQ  % to PE</t>
  </si>
  <si>
    <t>open</t>
  </si>
  <si>
    <t>From today</t>
  </si>
  <si>
    <t>net</t>
  </si>
  <si>
    <t>Mark to Market</t>
  </si>
  <si>
    <t>tot. time span</t>
  </si>
  <si>
    <t>oldest</t>
  </si>
  <si>
    <t>on good unit</t>
  </si>
  <si>
    <t>averg span per ticker</t>
  </si>
  <si>
    <t>on full unit</t>
  </si>
  <si>
    <t>Total</t>
  </si>
  <si>
    <t>per day</t>
  </si>
  <si>
    <t>Effective</t>
  </si>
  <si>
    <t>per month</t>
  </si>
  <si>
    <t>p.m.Return</t>
  </si>
  <si>
    <t>p.a. Return</t>
  </si>
  <si>
    <t>Invst.Plan</t>
  </si>
  <si>
    <t>Invest.Open</t>
  </si>
  <si>
    <t>Int.Rate monthly</t>
  </si>
  <si>
    <t>TIR pa</t>
  </si>
  <si>
    <t>Invest.Total</t>
  </si>
  <si>
    <t>Maturity</t>
  </si>
  <si>
    <t>FV</t>
  </si>
  <si>
    <t>Ticker Ammt</t>
  </si>
  <si>
    <t>WorkCap Slack</t>
  </si>
  <si>
    <t>Bach size</t>
  </si>
  <si>
    <t>Batches pa</t>
  </si>
  <si>
    <t>WorkCap Requir</t>
  </si>
  <si>
    <t>WorkCap Effective</t>
  </si>
  <si>
    <t>Mi cartera y Lepanto</t>
  </si>
  <si>
    <t>Traders Sessions</t>
  </si>
  <si>
    <t>Ibex Volume</t>
  </si>
  <si>
    <t>PROMEDIO</t>
  </si>
  <si>
    <t>Max</t>
  </si>
  <si>
    <t>Min</t>
  </si>
  <si>
    <t>TRE</t>
  </si>
  <si>
    <t>PG</t>
  </si>
  <si>
    <t>IBC</t>
  </si>
  <si>
    <t>UNILEVERCL</t>
  </si>
  <si>
    <t>LINDEINDIA</t>
  </si>
  <si>
    <t>PYPL</t>
  </si>
  <si>
    <t>NOW</t>
  </si>
  <si>
    <t>SAP</t>
  </si>
  <si>
    <t>CARTERAS SELECCIÓN R4</t>
  </si>
  <si>
    <t>Arteche</t>
  </si>
  <si>
    <t>Oryzon</t>
  </si>
  <si>
    <t>AVGO</t>
  </si>
  <si>
    <t>JNJ</t>
  </si>
  <si>
    <t>Europa, USA, TECH R4</t>
  </si>
  <si>
    <t>labiana</t>
  </si>
  <si>
    <t>INTC</t>
  </si>
  <si>
    <t>DG</t>
  </si>
  <si>
    <t>NVS</t>
  </si>
  <si>
    <t>Owner</t>
  </si>
  <si>
    <t>Renta4</t>
  </si>
  <si>
    <t>AMD</t>
  </si>
  <si>
    <t>MNST</t>
  </si>
  <si>
    <t>END</t>
  </si>
  <si>
    <t>PHAG</t>
  </si>
  <si>
    <t>AMAT</t>
  </si>
  <si>
    <t>RL</t>
  </si>
  <si>
    <t>EL</t>
  </si>
  <si>
    <t>1ENR</t>
  </si>
  <si>
    <t>SLV</t>
  </si>
  <si>
    <t>1RHMM.XD</t>
  </si>
  <si>
    <t>ABIB.XD</t>
  </si>
  <si>
    <t>ACX.MC</t>
  </si>
  <si>
    <t>AIR.MC</t>
  </si>
  <si>
    <t>AIR</t>
  </si>
  <si>
    <t>ALM.MC</t>
  </si>
  <si>
    <t>AMP.MC</t>
  </si>
  <si>
    <t>AI3A.SG</t>
  </si>
  <si>
    <t>ASML.AS</t>
  </si>
  <si>
    <t>BBVA.MC</t>
  </si>
  <si>
    <t>BKT.MC</t>
  </si>
  <si>
    <t>BAESF</t>
  </si>
  <si>
    <t>CABK.MC</t>
  </si>
  <si>
    <t>CASH.MC</t>
  </si>
  <si>
    <t>CIRSA.MC</t>
  </si>
  <si>
    <t>DIA.MC</t>
  </si>
  <si>
    <t>EBRO.MC</t>
  </si>
  <si>
    <t>ELE.MC</t>
  </si>
  <si>
    <t>ENG.MC</t>
  </si>
  <si>
    <t>FER.MC</t>
  </si>
  <si>
    <t>GOOG</t>
  </si>
  <si>
    <t>GRE.MC</t>
  </si>
  <si>
    <t>HAG.F</t>
  </si>
  <si>
    <t>1NN.SG</t>
  </si>
  <si>
    <t>IAG.MC</t>
  </si>
  <si>
    <t>^IBEX</t>
  </si>
  <si>
    <t>IBE.MC</t>
  </si>
  <si>
    <t>IDR.MC</t>
  </si>
  <si>
    <t>LDA.MC</t>
  </si>
  <si>
    <t>LDO.VI</t>
  </si>
  <si>
    <t>LINDEINDIA.BO</t>
  </si>
  <si>
    <t>MAP.MC</t>
  </si>
  <si>
    <t>MEL.MC</t>
  </si>
  <si>
    <t>MGT.MI</t>
  </si>
  <si>
    <t>MRL.MC</t>
  </si>
  <si>
    <t>MTX.DU</t>
  </si>
  <si>
    <t>NTGY.MC</t>
  </si>
  <si>
    <t>OHLA.MC</t>
  </si>
  <si>
    <t>REP.MC</t>
  </si>
  <si>
    <t>ROVI.MC</t>
  </si>
  <si>
    <t>RR.L</t>
  </si>
  <si>
    <t>SAAB-B.ST</t>
  </si>
  <si>
    <t>SAB.MC</t>
  </si>
  <si>
    <t>SAN.MC</t>
  </si>
  <si>
    <t>SCYR.MC</t>
  </si>
  <si>
    <t>SLR.MC</t>
  </si>
  <si>
    <t>SU.PA</t>
  </si>
  <si>
    <t>SPX.L</t>
  </si>
  <si>
    <t>SQRL.MC</t>
  </si>
  <si>
    <t>TEF.MC</t>
  </si>
  <si>
    <t>TKA.DE</t>
  </si>
  <si>
    <t>TRE.MC</t>
  </si>
  <si>
    <t>TCX.SG</t>
  </si>
  <si>
    <t>UNI.MC</t>
  </si>
  <si>
    <t>UL</t>
  </si>
  <si>
    <t>VOW3.DE</t>
  </si>
  <si>
    <t>1,906.5000</t>
  </si>
  <si>
    <t>0.1800</t>
  </si>
  <si>
    <t>1,167.2000</t>
  </si>
  <si>
    <t>0.6200</t>
  </si>
  <si>
    <t>17,710.9000</t>
  </si>
  <si>
    <t>6,105.0500</t>
  </si>
  <si>
    <t>1,038.4000</t>
  </si>
  <si>
    <t>0.3600</t>
  </si>
  <si>
    <t>1,285.5000</t>
  </si>
  <si>
    <t>7,185.0000</t>
  </si>
  <si>
    <t>Probabilidad %</t>
  </si>
  <si>
    <t>Sesgo</t>
  </si>
  <si>
    <t>Horizonte</t>
  </si>
  <si>
    <t>Beta</t>
  </si>
  <si>
    <t>Comentario operativo</t>
  </si>
  <si>
    <t>Ticker (TradingView)</t>
  </si>
  <si>
    <t>Origen</t>
  </si>
  <si>
    <t>Prob. éxito (Swing)</t>
  </si>
  <si>
    <t>Horizonte (semanas)</t>
  </si>
  <si>
    <t>Beta (aprox.)</t>
  </si>
  <si>
    <t>Categoría</t>
  </si>
  <si>
    <t>Largo</t>
  </si>
  <si>
    <t>2–6 sem</t>
  </si>
  <si>
    <t>Alta</t>
  </si>
  <si>
    <t>Tendencia limpia, swings nobles</t>
  </si>
  <si>
    <t>NASDAQ</t>
  </si>
  <si>
    <t>2–6</t>
  </si>
  <si>
    <t>Tech/Growth</t>
  </si>
  <si>
    <t>Preferible operar pullbacks a media 20/50 y rupturas de rango; stop bajo último mínimo; tomar parcial en +1R.</t>
  </si>
  <si>
    <t>Media</t>
  </si>
  <si>
    <t>Muy repetible técnicamente</t>
  </si>
  <si>
    <t>Rupturas con continuidad</t>
  </si>
  <si>
    <t>Respeto técnico excelente</t>
  </si>
  <si>
    <t>NYSE</t>
  </si>
  <si>
    <t>3–8</t>
  </si>
  <si>
    <t>Salud</t>
  </si>
  <si>
    <t>Tendencias suelen ser sostenidas; vigilar gaps por noticias; usar stop por cierre y tamaño reducido.</t>
  </si>
  <si>
    <t>GOOGLE</t>
  </si>
  <si>
    <t>Estructura clara, poco ruido</t>
  </si>
  <si>
    <t>2–4 sem</t>
  </si>
  <si>
    <t>Momentum defensivo growth</t>
  </si>
  <si>
    <t>Neutral</t>
  </si>
  <si>
    <t>en la columna A</t>
  </si>
  <si>
    <t>Alta beta pero swingable</t>
  </si>
  <si>
    <t>4–10</t>
  </si>
  <si>
    <t>Defensa/Aero</t>
  </si>
  <si>
    <t>Favorece swings por ruptura de resistencia; evitar perseguir tras gap; stop bajo soporte semanal.</t>
  </si>
  <si>
    <t>1–3 sem</t>
  </si>
  <si>
    <t>Muy alta</t>
  </si>
  <si>
    <t>Volatilidad amplia</t>
  </si>
  <si>
    <t>Tendencial ordenado</t>
  </si>
  <si>
    <t>Industrial noble</t>
  </si>
  <si>
    <t>SIX</t>
  </si>
  <si>
    <t>Swings clásicos</t>
  </si>
  <si>
    <t>BME</t>
  </si>
  <si>
    <t>Defensivo</t>
  </si>
  <si>
    <t>Mejor en entornos de mercado volátil; entradas en retrocesos suaves; objetivos modestos (1–1.5R).</t>
  </si>
  <si>
    <t>Técnico limpio europeo</t>
  </si>
  <si>
    <t>Baja</t>
  </si>
  <si>
    <t>Defensivo fiable</t>
  </si>
  <si>
    <t>Defensa estable</t>
  </si>
  <si>
    <t>BCS</t>
  </si>
  <si>
    <t>Poco ruido</t>
  </si>
  <si>
    <t>Fiable para swing</t>
  </si>
  <si>
    <t>Energía/Utilities</t>
  </si>
  <si>
    <t>Funciona bien con soportes claros; cuidado con noticias regulatorias y crudo/gas; trailing stop por mínimos crecientes.</t>
  </si>
  <si>
    <t>Defensa nórdica</t>
  </si>
  <si>
    <t>Defensa clásica</t>
  </si>
  <si>
    <t>Dependiente IBEX</t>
  </si>
  <si>
    <t>Alta sensibilidad índice</t>
  </si>
  <si>
    <t>Ligado al crudo</t>
  </si>
  <si>
    <t>EURONEXT</t>
  </si>
  <si>
    <t>Alta beta bancaria</t>
  </si>
  <si>
    <t>Ruido pero swingable</t>
  </si>
  <si>
    <t>Rango amplio</t>
  </si>
  <si>
    <t>Farmacia estable</t>
  </si>
  <si>
    <t>Financiero sólido</t>
  </si>
  <si>
    <t>Defensivo relativo</t>
  </si>
  <si>
    <t>Pura beta índice</t>
  </si>
  <si>
    <t>Lento</t>
  </si>
  <si>
    <t>OMXSTO</t>
  </si>
  <si>
    <t>Swings suaves</t>
  </si>
  <si>
    <t>LSE</t>
  </si>
  <si>
    <t>Índice</t>
  </si>
  <si>
    <t>Índice/benchmark: usar para confirmar régimen (risk-on/off). Swing: rupturas de máximos o pullbacks a soporte.</t>
  </si>
  <si>
    <t>3–7</t>
  </si>
  <si>
    <t>Banca</t>
  </si>
  <si>
    <t>Muy sensible a tipos y riesgo país; operar rangos/rupturas con confirmación; stop ajustado por volatilidad.</t>
  </si>
  <si>
    <t>Poco recorrido</t>
  </si>
  <si>
    <t>Estacional</t>
  </si>
  <si>
    <t>Ruidoso</t>
  </si>
  <si>
    <t>Cíclico</t>
  </si>
  <si>
    <t>Irregular</t>
  </si>
  <si>
    <t>Gaps frecuentes</t>
  </si>
  <si>
    <t>Cambiante</t>
  </si>
  <si>
    <t>RHM</t>
  </si>
  <si>
    <t>XETR</t>
  </si>
  <si>
    <t>Cíclico/Industria</t>
  </si>
  <si>
    <t>Mayor volatilidad: priorizar entradas con señal clara (ruptura + volumen / pullback); stop amplio o tamaño menor.</t>
  </si>
  <si>
    <t>Macro dependiente</t>
  </si>
  <si>
    <t>Errático</t>
  </si>
  <si>
    <t>1–2 sem</t>
  </si>
  <si>
    <t>Volátil</t>
  </si>
  <si>
    <t>Ruido</t>
  </si>
  <si>
    <t>Gaps</t>
  </si>
  <si>
    <t>Global</t>
  </si>
  <si>
    <t>Poco volumen</t>
  </si>
  <si>
    <t>Especulativo</t>
  </si>
  <si>
    <t>TKA</t>
  </si>
  <si>
    <t>VOW3</t>
  </si>
  <si>
    <t>Bajo</t>
  </si>
  <si>
    <t>—</t>
  </si>
  <si>
    <t>Eventos binarios</t>
  </si>
  <si>
    <t>ABI</t>
  </si>
  <si>
    <t>EBR</t>
  </si>
  <si>
    <t>2–5</t>
  </si>
  <si>
    <t>Small/Mid cap</t>
  </si>
  <si>
    <t>Riesgo de liquidez/gaps: usar órdenes limitadas, tamaño pequeño y stops estrictos; evitar mantener en resultados.</t>
  </si>
  <si>
    <t>Riesgo estructural</t>
  </si>
  <si>
    <t>OTC</t>
  </si>
  <si>
    <t>NSE</t>
  </si>
  <si>
    <t>RR</t>
  </si>
  <si>
    <t>Bajista</t>
  </si>
  <si>
    <t>(Varios elementos)</t>
  </si>
  <si>
    <t>Fase de mercado</t>
  </si>
  <si>
    <t>Alcista</t>
  </si>
  <si>
    <t>Promedio de Probabilidad %</t>
  </si>
  <si>
    <t>1–3 semanas</t>
  </si>
  <si>
    <t>2–4 semanas</t>
  </si>
  <si>
    <t>2–6 semanas</t>
  </si>
  <si>
    <t>Estrategia</t>
  </si>
  <si>
    <t>PE (tipo)</t>
  </si>
  <si>
    <t>SL (tipo)</t>
  </si>
  <si>
    <t>TP (tipo)</t>
  </si>
  <si>
    <t>Comentario</t>
  </si>
  <si>
    <t>Nasdaq 100</t>
  </si>
  <si>
    <t>Pullback / ruptura con confirmación</t>
  </si>
  <si>
    <t>Confirmación técnica (cierre o retest)</t>
  </si>
  <si>
    <t>Bajo soporte / ruptura</t>
  </si>
  <si>
    <t>1,5–2R o trailing</t>
  </si>
  <si>
    <t>Sesgo favorable</t>
  </si>
  <si>
    <t>Euronext/Nasdaq</t>
  </si>
  <si>
    <t>DAX</t>
  </si>
  <si>
    <t>IBEX 35</t>
  </si>
  <si>
    <t>Rango soporte–resistencia</t>
  </si>
  <si>
    <t>Entrada en soporte validado</t>
  </si>
  <si>
    <t>Bajo soporte</t>
  </si>
  <si>
    <t>Centro/parte alta del rango</t>
  </si>
  <si>
    <t>Lateral</t>
  </si>
  <si>
    <t>Táctico</t>
  </si>
  <si>
    <t>Nasdaq</t>
  </si>
  <si>
    <t>BME Growth</t>
  </si>
  <si>
    <t>Euronext</t>
  </si>
  <si>
    <t>ALMRY</t>
  </si>
  <si>
    <t>1–2 semanas</t>
  </si>
  <si>
    <t>UNJCF</t>
  </si>
  <si>
    <t>FTSE MIB</t>
  </si>
  <si>
    <t>Xetra</t>
  </si>
  <si>
    <t>SBGSF</t>
  </si>
  <si>
    <t>Evitar swing</t>
  </si>
  <si>
    <t>Incierta</t>
  </si>
  <si>
    <t>Ranking</t>
  </si>
  <si>
    <t>Empresa</t>
  </si>
  <si>
    <t>Probabilidad Éxito %</t>
  </si>
  <si>
    <t>Entrada</t>
  </si>
  <si>
    <t>Stop Loss</t>
  </si>
  <si>
    <t>Take Profit</t>
  </si>
  <si>
    <t>Ferrovial</t>
  </si>
  <si>
    <t>53,00-54,00</t>
  </si>
  <si>
    <t>48,00-48,70</t>
  </si>
  <si>
    <t>60,00-61,00</t>
  </si>
  <si>
    <t>Canal perfecto, mejor trade semana</t>
  </si>
  <si>
    <t>Entro</t>
  </si>
  <si>
    <t>Indra</t>
  </si>
  <si>
    <t>44,00-45,00</t>
  </si>
  <si>
    <t>38,00-39,00</t>
  </si>
  <si>
    <t>60,00-62,00</t>
  </si>
  <si>
    <t>Momentum fuerte, pullback limpio</t>
  </si>
  <si>
    <t>Endesa</t>
  </si>
  <si>
    <t>28,80-29,30</t>
  </si>
  <si>
    <t>26,50-27,00</t>
  </si>
  <si>
    <t>34,50-35,00</t>
  </si>
  <si>
    <t>Utility defensiva, riesgo bajo</t>
  </si>
  <si>
    <t>Naturgy</t>
  </si>
  <si>
    <t>26,40-26,70</t>
  </si>
  <si>
    <t>25,70-25,90</t>
  </si>
  <si>
    <t>28,80-29,20</t>
  </si>
  <si>
    <t>Muy técnica y estable</t>
  </si>
  <si>
    <t>Enagás</t>
  </si>
  <si>
    <t>13,45-13,65</t>
  </si>
  <si>
    <t>12,95-13,10</t>
  </si>
  <si>
    <t>14,65-14,80</t>
  </si>
  <si>
    <t>Pullback ordenado</t>
  </si>
  <si>
    <t>Acerinox</t>
  </si>
  <si>
    <t>10,95-11,10</t>
  </si>
  <si>
    <t>10,45-10,55</t>
  </si>
  <si>
    <t>12,35-12,50</t>
  </si>
  <si>
    <t>Industrial cíclica, buen R/R</t>
  </si>
  <si>
    <t>Repsol</t>
  </si>
  <si>
    <t>15,70-16,00</t>
  </si>
  <si>
    <t>14,80-15,10</t>
  </si>
  <si>
    <t>17,80-18,20</t>
  </si>
  <si>
    <t>Alcista pero algo extendida</t>
  </si>
  <si>
    <t>Sacyr</t>
  </si>
  <si>
    <t>3,60-3,67</t>
  </si>
  <si>
    <t>3,37-3,42</t>
  </si>
  <si>
    <t>4,05-4,15</t>
  </si>
  <si>
    <t>Canal correcto, momentum débil</t>
  </si>
  <si>
    <t>Prosegur Cash</t>
  </si>
  <si>
    <t>0,67-0,69</t>
  </si>
  <si>
    <t>0,62-0,63</t>
  </si>
  <si>
    <t>0,82-0,85</t>
  </si>
  <si>
    <t>En soporte, fuerza floja</t>
  </si>
  <si>
    <t>Amper</t>
  </si>
  <si>
    <t>0,132-0,135</t>
  </si>
  <si>
    <t>0,125-0,127</t>
  </si>
  <si>
    <t>0,150-0,155</t>
  </si>
  <si>
    <t>Muy ruidosa, especulativa</t>
  </si>
  <si>
    <t>Santander</t>
  </si>
  <si>
    <t>Ruido macro, evitar esta semana</t>
  </si>
  <si>
    <t>Sabadell</t>
  </si>
  <si>
    <t>Microestructura débil</t>
  </si>
  <si>
    <t>Top semanal, canal impecable</t>
  </si>
  <si>
    <t>Momentum fuerte, estructura limpia</t>
  </si>
  <si>
    <t>Industrial cíclica</t>
  </si>
  <si>
    <t>Dependiente del crudo</t>
  </si>
  <si>
    <t>Momentum débil</t>
  </si>
  <si>
    <t>Fuerza relativa baja</t>
  </si>
  <si>
    <t>Muy ruidosa</t>
  </si>
  <si>
    <t>Evitar esta semana</t>
  </si>
  <si>
    <t>Peor del ranking</t>
  </si>
  <si>
    <t>Ranking_Actual</t>
  </si>
  <si>
    <t>Prob_Actual_%</t>
  </si>
  <si>
    <t>Prob_Semana_Anterior_%</t>
  </si>
  <si>
    <t>Cambio_Prob</t>
  </si>
  <si>
    <t>Cambio_vs_Semana</t>
  </si>
  <si>
    <t>Estado_Entrada</t>
  </si>
  <si>
    <t>Entrada_Zona</t>
  </si>
  <si>
    <t>Stop_Loss</t>
  </si>
  <si>
    <t>Take_Profit</t>
  </si>
  <si>
    <t>➖ Sin cambio</t>
  </si>
  <si>
    <t>En ventana</t>
  </si>
  <si>
    <t>En pullback</t>
  </si>
  <si>
    <t>Momentum fuerte</t>
  </si>
  <si>
    <t>Utility estable</t>
  </si>
  <si>
    <t>Cerca entrada</t>
  </si>
  <si>
    <t>Muy técnica</t>
  </si>
  <si>
    <t>🔼 Mejora leve</t>
  </si>
  <si>
    <t>Acercándose</t>
  </si>
  <si>
    <t>Aún extendida</t>
  </si>
  <si>
    <t>Necesita confirmación</t>
  </si>
  <si>
    <t>En soporte</t>
  </si>
  <si>
    <t>Fuerza baja</t>
  </si>
  <si>
    <t>Especulativa</t>
  </si>
  <si>
    <t>Evitar</t>
  </si>
  <si>
    <t>--</t>
  </si>
  <si>
    <t>Ruido macro</t>
  </si>
  <si>
    <t>Cambio_Puntos</t>
  </si>
  <si>
    <t>Se aproxima a zona óptima</t>
  </si>
  <si>
    <t>INSERT</t>
  </si>
  <si>
    <t>DESVEST</t>
  </si>
  <si>
    <t>PROM INCR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</si>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</sst>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  <numFmt numFmtId="165" formatCode="0.00\ &quot;X&quot;;[Red]\-0.00\ &quot;x&quot;"/>
    <numFmt numFmtId="166" formatCode="[$-C0A]d\-mmm\-yy;@"/>
    <numFmt numFmtId="167" formatCode="#,##0.00\ &quot;€&quot;"/>
    <numFmt numFmtId="168" formatCode="#,###.000%;[Red]\-#,###.000%"/>
    <numFmt numFmtId="169" formatCode="0.000%"/>
    <numFmt numFmtId="170" formatCode="_-* #,##0.00\ _€_-;\-* #,##0.00\ _€_-;_-* &quot;-&quot;??\ _€_-;_-@_-"/>
    <numFmt numFmtId="171" formatCode="#,###&quot; d&quot;;[Red]\-#,###&quot; d&quot;"/>
    <numFmt numFmtId="172" formatCode="_-* #,##0.0000\ &quot;€&quot;_-;\-* #,##0.0000\ &quot;€&quot;_-;_-* &quot;-&quot;??\ &quot;€&quot;_-;_-@_-"/>
    <numFmt numFmtId="173" formatCode="0\ &quot;units&quot;"/>
    <numFmt numFmtId="174" formatCode="#,###.00%;[Red]\-#,###.00%"/>
    <numFmt numFmtId="175" formatCode="#,##0.0000\ _€;[Red]\-#,##0.0000\ _€"/>
    <numFmt numFmtId="176" formatCode="0.0\ &quot;d&quot;"/>
    <numFmt numFmtId="177" formatCode="#,##0.0000\ &quot;€&quot;"/>
    <numFmt numFmtId="178" formatCode="#,###.0%;[Red]\-#,###.0%"/>
    <numFmt numFmtId="179" formatCode="0.00%\ ;[Red]\-0.00%\ "/>
    <numFmt numFmtId="180" formatCode="#,###%;[Red]\-#,###%"/>
    <numFmt numFmtId="181" formatCode="#,##0.0000\ &quot;€&quot;;[Red]\-#,##0.0000\ &quot;€&quot;"/>
    <numFmt numFmtId="182" formatCode="#,##0\ _€;[Red]\-#,##0\ _€"/>
    <numFmt numFmtId="183" formatCode="0.0%"/>
    <numFmt numFmtId="184" formatCode="0\ &quot;years&quot;"/>
    <numFmt numFmtId="185" formatCode="0.0000"/>
    <numFmt numFmtId="186" formatCode="#,##0.0000"/>
    <numFmt numFmtId="187" formatCode="#,##0.0000_ ;[Red]\-#,##0.0000\ "/>
    <numFmt numFmtId="188" formatCode="_-* #,##0.0000\ _€_-;\-* #,##0.0000\ _€_-;_-* &quot;-&quot;??\ _€_-;_-@_-"/>
    <numFmt numFmtId="189" formatCode="0.00_ ;[Red]\-0.0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2F75B5"/>
      <name val="Calibri"/>
      <family val="2"/>
    </font>
    <font>
      <u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C0000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1F4E79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FFC000"/>
      </left>
      <right/>
      <top/>
      <bottom style="medium">
        <color indexed="64"/>
      </bottom>
      <diagonal/>
    </border>
    <border>
      <left style="double">
        <color theme="5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theme="5"/>
      </top>
      <bottom style="medium">
        <color indexed="64"/>
      </bottom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double">
        <color indexed="64"/>
      </right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/>
      <right style="double">
        <color rgb="FFFFC000"/>
      </right>
      <top/>
      <bottom style="medium">
        <color indexed="64"/>
      </bottom>
      <diagonal/>
    </border>
    <border>
      <left/>
      <right/>
      <top style="double">
        <color theme="5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theme="5"/>
      </left>
      <right/>
      <top/>
      <bottom/>
      <diagonal/>
    </border>
    <border>
      <left/>
      <right style="double">
        <color theme="9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rgb="FFFFC000"/>
      </right>
      <top/>
      <bottom/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double">
        <color theme="5"/>
      </left>
      <right/>
      <top style="double">
        <color theme="5"/>
      </top>
      <bottom/>
      <diagonal/>
    </border>
    <border>
      <left style="medium">
        <color theme="5"/>
      </left>
      <right style="double">
        <color rgb="FFFF0000"/>
      </right>
      <top style="double">
        <color theme="5"/>
      </top>
      <bottom/>
      <diagonal/>
    </border>
    <border>
      <left/>
      <right/>
      <top style="double">
        <color rgb="FFFF0000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 style="double">
        <color indexed="64"/>
      </right>
      <top style="medium">
        <color theme="5"/>
      </top>
      <bottom style="medium">
        <color theme="5"/>
      </bottom>
      <diagonal/>
    </border>
    <border>
      <left style="double">
        <color indexed="64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medium">
        <color theme="8"/>
      </left>
      <right style="medium">
        <color theme="8"/>
      </right>
      <top style="medium">
        <color theme="5"/>
      </top>
      <bottom style="medium">
        <color theme="8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theme="7"/>
      </right>
      <top/>
      <bottom/>
      <diagonal/>
    </border>
    <border>
      <left/>
      <right style="double">
        <color theme="5"/>
      </right>
      <top/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5"/>
      </bottom>
      <diagonal/>
    </border>
    <border>
      <left/>
      <right style="medium">
        <color indexed="64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indexed="64"/>
      </left>
      <right/>
      <top style="medium">
        <color theme="5"/>
      </top>
      <bottom/>
      <diagonal/>
    </border>
    <border>
      <left/>
      <right style="medium">
        <color indexed="64"/>
      </right>
      <top style="medium">
        <color theme="5"/>
      </top>
      <bottom/>
      <diagonal/>
    </border>
    <border>
      <left style="medium">
        <color indexed="64"/>
      </left>
      <right/>
      <top style="medium">
        <color theme="5"/>
      </top>
      <bottom style="medium">
        <color indexed="64"/>
      </bottom>
      <diagonal/>
    </border>
    <border>
      <left/>
      <right style="medium">
        <color indexed="64"/>
      </right>
      <top style="medium">
        <color theme="5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5"/>
      </left>
      <right/>
      <top style="double">
        <color theme="5"/>
      </top>
      <bottom style="medium">
        <color theme="5"/>
      </bottom>
      <diagonal/>
    </border>
    <border>
      <left/>
      <right style="medium">
        <color theme="5"/>
      </right>
      <top style="double">
        <color theme="5"/>
      </top>
      <bottom style="medium">
        <color theme="5"/>
      </bottom>
      <diagonal/>
    </border>
    <border>
      <left/>
      <right/>
      <top/>
      <bottom style="double">
        <color theme="5"/>
      </bottom>
      <diagonal/>
    </border>
    <border>
      <left/>
      <right style="double">
        <color theme="7"/>
      </right>
      <top/>
      <bottom style="double">
        <color theme="5"/>
      </bottom>
      <diagonal/>
    </border>
    <border>
      <left/>
      <right style="double">
        <color theme="5"/>
      </right>
      <top/>
      <bottom style="double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theme="5"/>
      </right>
      <top style="double">
        <color theme="5"/>
      </top>
      <bottom/>
      <diagonal/>
    </border>
    <border>
      <left style="double">
        <color theme="5"/>
      </left>
      <right/>
      <top/>
      <bottom style="double">
        <color theme="5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26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8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0" fontId="0" fillId="0" borderId="0" xfId="0" applyNumberFormat="1"/>
    <xf numFmtId="176" fontId="0" fillId="0" borderId="0" xfId="0" applyNumberFormat="1"/>
    <xf numFmtId="169" fontId="2" fillId="0" borderId="0" xfId="0" applyNumberFormat="1" applyFont="1"/>
    <xf numFmtId="168" fontId="2" fillId="0" borderId="0" xfId="0" applyNumberFormat="1" applyFont="1"/>
    <xf numFmtId="177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178" fontId="0" fillId="0" borderId="0" xfId="0" applyNumberFormat="1"/>
    <xf numFmtId="14" fontId="0" fillId="0" borderId="0" xfId="0" applyNumberFormat="1"/>
    <xf numFmtId="179" fontId="0" fillId="0" borderId="0" xfId="0" applyNumberFormat="1"/>
    <xf numFmtId="171" fontId="0" fillId="0" borderId="0" xfId="0" applyNumberFormat="1"/>
    <xf numFmtId="180" fontId="0" fillId="0" borderId="0" xfId="0" applyNumberFormat="1"/>
    <xf numFmtId="174" fontId="0" fillId="0" borderId="0" xfId="0" applyNumberFormat="1"/>
    <xf numFmtId="181" fontId="0" fillId="0" borderId="0" xfId="0" applyNumberFormat="1"/>
    <xf numFmtId="170" fontId="0" fillId="2" borderId="1" xfId="3" applyFont="1" applyFill="1" applyBorder="1" applyAlignment="1">
      <alignment horizontal="center"/>
    </xf>
    <xf numFmtId="170" fontId="0" fillId="2" borderId="2" xfId="3" applyFont="1" applyFill="1" applyBorder="1" applyAlignment="1">
      <alignment horizontal="center"/>
    </xf>
    <xf numFmtId="170" fontId="0" fillId="2" borderId="3" xfId="3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75" fontId="0" fillId="0" borderId="0" xfId="0" applyNumberFormat="1"/>
    <xf numFmtId="0" fontId="0" fillId="4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70" fontId="3" fillId="0" borderId="10" xfId="3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70" fontId="3" fillId="0" borderId="12" xfId="3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175" fontId="3" fillId="9" borderId="19" xfId="0" applyNumberFormat="1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170" fontId="0" fillId="0" borderId="0" xfId="3" applyFont="1"/>
    <xf numFmtId="0" fontId="5" fillId="7" borderId="21" xfId="0" applyFont="1" applyFill="1" applyBorder="1" applyAlignment="1">
      <alignment horizontal="center"/>
    </xf>
    <xf numFmtId="170" fontId="5" fillId="10" borderId="0" xfId="3" applyFont="1" applyFill="1" applyAlignment="1">
      <alignment horizontal="center"/>
    </xf>
    <xf numFmtId="44" fontId="0" fillId="0" borderId="0" xfId="1" applyFont="1" applyBorder="1"/>
    <xf numFmtId="166" fontId="5" fillId="10" borderId="0" xfId="0" applyNumberFormat="1" applyFont="1" applyFill="1"/>
    <xf numFmtId="0" fontId="6" fillId="0" borderId="0" xfId="0" applyFont="1" applyAlignment="1">
      <alignment horizontal="center"/>
    </xf>
    <xf numFmtId="169" fontId="6" fillId="0" borderId="0" xfId="2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72" fontId="5" fillId="11" borderId="0" xfId="1" applyNumberFormat="1" applyFont="1" applyFill="1" applyBorder="1"/>
    <xf numFmtId="172" fontId="5" fillId="6" borderId="0" xfId="1" applyNumberFormat="1" applyFont="1" applyFill="1" applyBorder="1"/>
    <xf numFmtId="172" fontId="5" fillId="7" borderId="0" xfId="1" applyNumberFormat="1" applyFont="1" applyFill="1" applyBorder="1"/>
    <xf numFmtId="173" fontId="0" fillId="0" borderId="22" xfId="0" applyNumberFormat="1" applyBorder="1"/>
    <xf numFmtId="174" fontId="0" fillId="0" borderId="23" xfId="0" applyNumberFormat="1" applyBorder="1"/>
    <xf numFmtId="44" fontId="0" fillId="0" borderId="0" xfId="0" applyNumberFormat="1"/>
    <xf numFmtId="165" fontId="0" fillId="0" borderId="24" xfId="0" applyNumberFormat="1" applyBorder="1"/>
    <xf numFmtId="175" fontId="5" fillId="11" borderId="0" xfId="1" applyNumberFormat="1" applyFont="1" applyFill="1" applyBorder="1"/>
    <xf numFmtId="174" fontId="0" fillId="0" borderId="25" xfId="0" applyNumberFormat="1" applyBorder="1"/>
    <xf numFmtId="0" fontId="5" fillId="10" borderId="21" xfId="0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3" fontId="0" fillId="0" borderId="23" xfId="0" applyNumberFormat="1" applyBorder="1"/>
    <xf numFmtId="0" fontId="5" fillId="12" borderId="21" xfId="0" applyFont="1" applyFill="1" applyBorder="1" applyAlignment="1">
      <alignment horizontal="center"/>
    </xf>
    <xf numFmtId="44" fontId="0" fillId="10" borderId="0" xfId="1" applyFont="1" applyFill="1" applyBorder="1"/>
    <xf numFmtId="173" fontId="0" fillId="0" borderId="26" xfId="0" applyNumberFormat="1" applyBorder="1"/>
    <xf numFmtId="182" fontId="7" fillId="10" borderId="27" xfId="0" applyNumberFormat="1" applyFont="1" applyFill="1" applyBorder="1" applyAlignment="1">
      <alignment horizontal="center"/>
    </xf>
    <xf numFmtId="44" fontId="0" fillId="0" borderId="19" xfId="0" applyNumberFormat="1" applyBorder="1"/>
    <xf numFmtId="166" fontId="5" fillId="10" borderId="19" xfId="0" applyNumberFormat="1" applyFont="1" applyFill="1" applyBorder="1"/>
    <xf numFmtId="0" fontId="0" fillId="0" borderId="19" xfId="0" applyBorder="1"/>
    <xf numFmtId="171" fontId="0" fillId="0" borderId="28" xfId="0" applyNumberFormat="1" applyBorder="1" applyAlignment="1">
      <alignment horizontal="center"/>
    </xf>
    <xf numFmtId="173" fontId="0" fillId="0" borderId="29" xfId="0" applyNumberFormat="1" applyBorder="1"/>
    <xf numFmtId="176" fontId="0" fillId="0" borderId="30" xfId="0" applyNumberFormat="1" applyBorder="1" applyAlignment="1">
      <alignment horizontal="left"/>
    </xf>
    <xf numFmtId="8" fontId="0" fillId="0" borderId="30" xfId="0" applyNumberFormat="1" applyBorder="1"/>
    <xf numFmtId="174" fontId="0" fillId="0" borderId="31" xfId="0" applyNumberFormat="1" applyBorder="1"/>
    <xf numFmtId="174" fontId="0" fillId="0" borderId="32" xfId="0" applyNumberFormat="1" applyBorder="1"/>
    <xf numFmtId="173" fontId="0" fillId="0" borderId="33" xfId="0" applyNumberFormat="1" applyBorder="1"/>
    <xf numFmtId="8" fontId="0" fillId="0" borderId="34" xfId="0" applyNumberFormat="1" applyBorder="1"/>
    <xf numFmtId="174" fontId="0" fillId="0" borderId="35" xfId="0" applyNumberFormat="1" applyBorder="1"/>
    <xf numFmtId="44" fontId="0" fillId="0" borderId="30" xfId="0" applyNumberFormat="1" applyBorder="1"/>
    <xf numFmtId="165" fontId="0" fillId="0" borderId="36" xfId="0" applyNumberFormat="1" applyBorder="1"/>
    <xf numFmtId="171" fontId="0" fillId="0" borderId="37" xfId="0" applyNumberFormat="1" applyBorder="1" applyAlignment="1">
      <alignment horizontal="center"/>
    </xf>
    <xf numFmtId="165" fontId="0" fillId="0" borderId="30" xfId="0" applyNumberFormat="1" applyBorder="1"/>
    <xf numFmtId="174" fontId="0" fillId="0" borderId="38" xfId="0" applyNumberFormat="1" applyBorder="1"/>
    <xf numFmtId="173" fontId="2" fillId="0" borderId="39" xfId="0" applyNumberFormat="1" applyFont="1" applyBorder="1"/>
    <xf numFmtId="170" fontId="2" fillId="0" borderId="35" xfId="3" applyFont="1" applyBorder="1"/>
    <xf numFmtId="176" fontId="0" fillId="0" borderId="39" xfId="0" applyNumberFormat="1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4" xfId="0" applyBorder="1"/>
    <xf numFmtId="0" fontId="0" fillId="0" borderId="35" xfId="0" applyBorder="1"/>
    <xf numFmtId="9" fontId="0" fillId="0" borderId="0" xfId="2" applyFont="1"/>
    <xf numFmtId="8" fontId="0" fillId="0" borderId="40" xfId="0" applyNumberFormat="1" applyBorder="1"/>
    <xf numFmtId="0" fontId="0" fillId="0" borderId="41" xfId="0" applyBorder="1"/>
    <xf numFmtId="174" fontId="0" fillId="13" borderId="0" xfId="0" applyNumberFormat="1" applyFill="1"/>
    <xf numFmtId="0" fontId="0" fillId="0" borderId="42" xfId="0" applyBorder="1"/>
    <xf numFmtId="176" fontId="0" fillId="9" borderId="0" xfId="0" applyNumberFormat="1" applyFill="1"/>
    <xf numFmtId="0" fontId="0" fillId="0" borderId="43" xfId="0" applyBorder="1"/>
    <xf numFmtId="173" fontId="2" fillId="0" borderId="44" xfId="0" applyNumberFormat="1" applyFont="1" applyBorder="1"/>
    <xf numFmtId="170" fontId="2" fillId="0" borderId="45" xfId="3" applyFont="1" applyBorder="1"/>
    <xf numFmtId="176" fontId="0" fillId="0" borderId="44" xfId="0" applyNumberFormat="1" applyBorder="1" applyAlignment="1">
      <alignment horizontal="left"/>
    </xf>
    <xf numFmtId="0" fontId="0" fillId="0" borderId="45" xfId="0" applyBorder="1"/>
    <xf numFmtId="166" fontId="0" fillId="0" borderId="46" xfId="0" applyNumberFormat="1" applyBorder="1"/>
    <xf numFmtId="0" fontId="0" fillId="0" borderId="47" xfId="0" applyBorder="1"/>
    <xf numFmtId="173" fontId="0" fillId="0" borderId="44" xfId="0" applyNumberFormat="1" applyBorder="1"/>
    <xf numFmtId="170" fontId="0" fillId="0" borderId="45" xfId="3" applyFont="1" applyBorder="1"/>
    <xf numFmtId="176" fontId="0" fillId="0" borderId="48" xfId="0" applyNumberFormat="1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9" xfId="0" applyBorder="1"/>
    <xf numFmtId="0" fontId="0" fillId="0" borderId="50" xfId="0" applyBorder="1"/>
    <xf numFmtId="176" fontId="0" fillId="0" borderId="51" xfId="0" applyNumberFormat="1" applyBorder="1" applyAlignment="1">
      <alignment horizontal="left"/>
    </xf>
    <xf numFmtId="176" fontId="0" fillId="0" borderId="52" xfId="0" applyNumberFormat="1" applyBorder="1" applyAlignment="1">
      <alignment horizontal="left"/>
    </xf>
    <xf numFmtId="176" fontId="0" fillId="0" borderId="53" xfId="0" applyNumberFormat="1" applyBorder="1" applyAlignment="1">
      <alignment horizontal="left"/>
    </xf>
    <xf numFmtId="176" fontId="0" fillId="0" borderId="54" xfId="0" applyNumberFormat="1" applyBorder="1" applyAlignment="1">
      <alignment horizontal="left"/>
    </xf>
    <xf numFmtId="0" fontId="0" fillId="0" borderId="55" xfId="0" applyBorder="1"/>
    <xf numFmtId="10" fontId="0" fillId="0" borderId="0" xfId="2" applyNumberFormat="1" applyFont="1"/>
    <xf numFmtId="173" fontId="0" fillId="0" borderId="56" xfId="0" applyNumberFormat="1" applyBorder="1"/>
    <xf numFmtId="170" fontId="0" fillId="0" borderId="57" xfId="3" applyFont="1" applyBorder="1"/>
    <xf numFmtId="0" fontId="0" fillId="0" borderId="58" xfId="0" applyBorder="1"/>
    <xf numFmtId="176" fontId="0" fillId="0" borderId="58" xfId="0" applyNumberFormat="1" applyBorder="1" applyAlignment="1">
      <alignment horizontal="left"/>
    </xf>
    <xf numFmtId="2" fontId="0" fillId="0" borderId="1" xfId="0" applyNumberFormat="1" applyBorder="1"/>
    <xf numFmtId="0" fontId="0" fillId="0" borderId="2" xfId="0" applyBorder="1"/>
    <xf numFmtId="2" fontId="0" fillId="0" borderId="2" xfId="0" applyNumberFormat="1" applyBorder="1"/>
    <xf numFmtId="2" fontId="0" fillId="14" borderId="1" xfId="0" applyNumberFormat="1" applyFill="1" applyBorder="1"/>
    <xf numFmtId="0" fontId="0" fillId="14" borderId="3" xfId="0" applyFill="1" applyBorder="1"/>
    <xf numFmtId="0" fontId="0" fillId="0" borderId="58" xfId="0" applyBorder="1" applyAlignment="1">
      <alignment horizontal="right"/>
    </xf>
    <xf numFmtId="44" fontId="0" fillId="0" borderId="58" xfId="1" applyFont="1" applyBorder="1" applyAlignment="1">
      <alignment horizontal="left"/>
    </xf>
    <xf numFmtId="0" fontId="0" fillId="0" borderId="59" xfId="0" applyBorder="1"/>
    <xf numFmtId="175" fontId="0" fillId="0" borderId="58" xfId="0" applyNumberFormat="1" applyBorder="1"/>
    <xf numFmtId="0" fontId="0" fillId="0" borderId="60" xfId="0" applyBorder="1"/>
    <xf numFmtId="173" fontId="2" fillId="0" borderId="0" xfId="0" applyNumberFormat="1" applyFont="1"/>
    <xf numFmtId="170" fontId="2" fillId="0" borderId="0" xfId="3" applyFont="1"/>
    <xf numFmtId="16" fontId="0" fillId="0" borderId="0" xfId="0" applyNumberFormat="1"/>
    <xf numFmtId="8" fontId="0" fillId="14" borderId="1" xfId="0" applyNumberFormat="1" applyFill="1" applyBorder="1"/>
    <xf numFmtId="8" fontId="0" fillId="0" borderId="61" xfId="0" applyNumberFormat="1" applyBorder="1"/>
    <xf numFmtId="0" fontId="0" fillId="0" borderId="40" xfId="0" applyBorder="1"/>
    <xf numFmtId="10" fontId="0" fillId="0" borderId="41" xfId="2" applyNumberFormat="1" applyFont="1" applyBorder="1"/>
    <xf numFmtId="0" fontId="0" fillId="0" borderId="40" xfId="0" applyBorder="1" applyAlignment="1">
      <alignment horizontal="right"/>
    </xf>
    <xf numFmtId="183" fontId="0" fillId="0" borderId="41" xfId="2" applyNumberFormat="1" applyFont="1" applyBorder="1"/>
    <xf numFmtId="44" fontId="0" fillId="0" borderId="40" xfId="0" applyNumberFormat="1" applyBorder="1"/>
    <xf numFmtId="0" fontId="0" fillId="0" borderId="62" xfId="0" applyBorder="1"/>
    <xf numFmtId="10" fontId="0" fillId="0" borderId="47" xfId="2" applyNumberFormat="1" applyFont="1" applyBorder="1"/>
    <xf numFmtId="0" fontId="0" fillId="13" borderId="62" xfId="0" applyFill="1" applyBorder="1" applyAlignment="1">
      <alignment horizontal="right"/>
    </xf>
    <xf numFmtId="183" fontId="0" fillId="13" borderId="47" xfId="2" applyNumberFormat="1" applyFont="1" applyFill="1" applyBorder="1"/>
    <xf numFmtId="44" fontId="0" fillId="0" borderId="62" xfId="0" applyNumberFormat="1" applyBorder="1"/>
    <xf numFmtId="170" fontId="0" fillId="0" borderId="26" xfId="3" applyFont="1" applyBorder="1"/>
    <xf numFmtId="174" fontId="8" fillId="0" borderId="63" xfId="0" applyNumberFormat="1" applyFont="1" applyBorder="1"/>
    <xf numFmtId="0" fontId="0" fillId="0" borderId="26" xfId="0" applyBorder="1"/>
    <xf numFmtId="174" fontId="0" fillId="0" borderId="19" xfId="0" applyNumberFormat="1" applyBorder="1"/>
    <xf numFmtId="165" fontId="0" fillId="0" borderId="63" xfId="0" applyNumberFormat="1" applyBorder="1"/>
    <xf numFmtId="0" fontId="0" fillId="0" borderId="61" xfId="0" applyBorder="1"/>
    <xf numFmtId="10" fontId="0" fillId="0" borderId="55" xfId="2" applyNumberFormat="1" applyFont="1" applyBorder="1"/>
    <xf numFmtId="0" fontId="0" fillId="14" borderId="61" xfId="0" applyFill="1" applyBorder="1" applyAlignment="1">
      <alignment horizontal="right"/>
    </xf>
    <xf numFmtId="183" fontId="0" fillId="14" borderId="55" xfId="2" applyNumberFormat="1" applyFont="1" applyFill="1" applyBorder="1"/>
    <xf numFmtId="44" fontId="0" fillId="0" borderId="61" xfId="0" applyNumberFormat="1" applyBorder="1"/>
    <xf numFmtId="170" fontId="0" fillId="0" borderId="21" xfId="3" applyFont="1" applyBorder="1"/>
    <xf numFmtId="176" fontId="8" fillId="0" borderId="43" xfId="0" applyNumberFormat="1" applyFont="1" applyBorder="1"/>
    <xf numFmtId="0" fontId="0" fillId="0" borderId="21" xfId="0" applyBorder="1"/>
    <xf numFmtId="44" fontId="8" fillId="0" borderId="43" xfId="1" applyFont="1" applyBorder="1"/>
    <xf numFmtId="170" fontId="0" fillId="0" borderId="64" xfId="3" applyFont="1" applyBorder="1"/>
    <xf numFmtId="9" fontId="8" fillId="0" borderId="60" xfId="0" applyNumberFormat="1" applyFont="1" applyBorder="1"/>
    <xf numFmtId="184" fontId="8" fillId="0" borderId="21" xfId="0" applyNumberFormat="1" applyFont="1" applyBorder="1" applyAlignment="1">
      <alignment horizontal="left"/>
    </xf>
    <xf numFmtId="184" fontId="8" fillId="0" borderId="0" xfId="0" applyNumberFormat="1" applyFont="1" applyAlignment="1">
      <alignment horizontal="left"/>
    </xf>
    <xf numFmtId="165" fontId="0" fillId="0" borderId="43" xfId="0" applyNumberFormat="1" applyBorder="1"/>
    <xf numFmtId="0" fontId="0" fillId="0" borderId="64" xfId="0" applyBorder="1"/>
    <xf numFmtId="44" fontId="0" fillId="0" borderId="58" xfId="1" applyFont="1" applyBorder="1"/>
    <xf numFmtId="44" fontId="0" fillId="0" borderId="43" xfId="0" applyNumberFormat="1" applyBorder="1"/>
    <xf numFmtId="44" fontId="0" fillId="0" borderId="60" xfId="0" applyNumberFormat="1" applyBorder="1"/>
    <xf numFmtId="0" fontId="2" fillId="0" borderId="0" xfId="0" applyFont="1" applyAlignment="1">
      <alignment horizontal="center"/>
    </xf>
    <xf numFmtId="14" fontId="2" fillId="0" borderId="0" xfId="0" applyNumberFormat="1" applyFont="1"/>
    <xf numFmtId="14" fontId="2" fillId="0" borderId="65" xfId="0" applyNumberFormat="1" applyFont="1" applyBorder="1"/>
    <xf numFmtId="14" fontId="2" fillId="0" borderId="0" xfId="0" applyNumberFormat="1" applyFont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5" fillId="15" borderId="40" xfId="0" applyFont="1" applyFill="1" applyBorder="1" applyAlignment="1">
      <alignment horizontal="center"/>
    </xf>
    <xf numFmtId="185" fontId="0" fillId="0" borderId="0" xfId="0" applyNumberFormat="1"/>
    <xf numFmtId="168" fontId="0" fillId="0" borderId="66" xfId="0" applyNumberFormat="1" applyBorder="1"/>
    <xf numFmtId="168" fontId="0" fillId="0" borderId="65" xfId="0" applyNumberFormat="1" applyBorder="1"/>
    <xf numFmtId="0" fontId="5" fillId="15" borderId="62" xfId="0" applyFont="1" applyFill="1" applyBorder="1" applyAlignment="1">
      <alignment horizontal="center"/>
    </xf>
    <xf numFmtId="0" fontId="5" fillId="4" borderId="62" xfId="0" applyFont="1" applyFill="1" applyBorder="1" applyAlignment="1">
      <alignment horizontal="center"/>
    </xf>
    <xf numFmtId="0" fontId="5" fillId="10" borderId="62" xfId="0" applyFont="1" applyFill="1" applyBorder="1" applyAlignment="1">
      <alignment horizontal="center"/>
    </xf>
    <xf numFmtId="185" fontId="0" fillId="0" borderId="2" xfId="0" applyNumberFormat="1" applyBorder="1"/>
    <xf numFmtId="168" fontId="0" fillId="0" borderId="1" xfId="0" applyNumberFormat="1" applyBorder="1"/>
    <xf numFmtId="168" fontId="0" fillId="0" borderId="2" xfId="0" applyNumberFormat="1" applyBorder="1"/>
    <xf numFmtId="0" fontId="5" fillId="10" borderId="1" xfId="0" applyFont="1" applyFill="1" applyBorder="1" applyAlignment="1">
      <alignment horizontal="center"/>
    </xf>
    <xf numFmtId="168" fontId="0" fillId="0" borderId="4" xfId="0" applyNumberFormat="1" applyBorder="1"/>
    <xf numFmtId="168" fontId="0" fillId="0" borderId="3" xfId="0" applyNumberFormat="1" applyBorder="1"/>
    <xf numFmtId="168" fontId="0" fillId="0" borderId="67" xfId="0" applyNumberFormat="1" applyBorder="1"/>
    <xf numFmtId="0" fontId="5" fillId="10" borderId="61" xfId="0" applyFont="1" applyFill="1" applyBorder="1" applyAlignment="1">
      <alignment horizontal="center"/>
    </xf>
    <xf numFmtId="168" fontId="0" fillId="0" borderId="12" xfId="0" applyNumberFormat="1" applyBorder="1"/>
    <xf numFmtId="0" fontId="5" fillId="15" borderId="61" xfId="0" applyFont="1" applyFill="1" applyBorder="1" applyAlignment="1">
      <alignment horizontal="center"/>
    </xf>
    <xf numFmtId="186" fontId="0" fillId="0" borderId="0" xfId="0" applyNumberFormat="1"/>
    <xf numFmtId="0" fontId="5" fillId="16" borderId="21" xfId="0" applyFont="1" applyFill="1" applyBorder="1" applyAlignment="1">
      <alignment horizontal="center"/>
    </xf>
    <xf numFmtId="0" fontId="5" fillId="16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0" fontId="5" fillId="15" borderId="21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10" fillId="17" borderId="0" xfId="0" applyFont="1" applyFill="1" applyAlignment="1">
      <alignment horizontal="center" wrapText="1"/>
    </xf>
    <xf numFmtId="0" fontId="9" fillId="10" borderId="0" xfId="4" applyFill="1" applyAlignment="1">
      <alignment horizontal="center" wrapText="1"/>
    </xf>
    <xf numFmtId="0" fontId="11" fillId="17" borderId="0" xfId="0" applyFont="1" applyFill="1" applyAlignment="1">
      <alignment horizontal="center" wrapText="1"/>
    </xf>
    <xf numFmtId="0" fontId="10" fillId="10" borderId="0" xfId="0" applyFont="1" applyFill="1" applyAlignment="1">
      <alignment horizontal="center" wrapText="1"/>
    </xf>
    <xf numFmtId="0" fontId="11" fillId="10" borderId="0" xfId="0" applyFont="1" applyFill="1" applyAlignment="1">
      <alignment horizontal="center" wrapText="1"/>
    </xf>
    <xf numFmtId="0" fontId="12" fillId="10" borderId="0" xfId="4" applyFont="1" applyFill="1" applyAlignment="1">
      <alignment horizontal="center" wrapText="1"/>
    </xf>
    <xf numFmtId="0" fontId="9" fillId="17" borderId="0" xfId="4" applyFill="1" applyAlignment="1">
      <alignment horizontal="center" wrapText="1"/>
    </xf>
    <xf numFmtId="0" fontId="13" fillId="0" borderId="68" xfId="0" applyFont="1" applyBorder="1" applyAlignment="1">
      <alignment horizontal="right" wrapText="1"/>
    </xf>
    <xf numFmtId="3" fontId="13" fillId="0" borderId="68" xfId="0" applyNumberFormat="1" applyFont="1" applyBorder="1" applyAlignment="1">
      <alignment horizontal="right" wrapText="1"/>
    </xf>
    <xf numFmtId="0" fontId="13" fillId="0" borderId="0" xfId="0" applyFont="1" applyAlignment="1">
      <alignment wrapText="1"/>
    </xf>
    <xf numFmtId="187" fontId="0" fillId="0" borderId="0" xfId="3" applyNumberFormat="1" applyFont="1"/>
    <xf numFmtId="188" fontId="0" fillId="0" borderId="0" xfId="3" applyNumberFormat="1" applyFont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0" fontId="3" fillId="0" borderId="0" xfId="0" applyFont="1"/>
    <xf numFmtId="0" fontId="14" fillId="18" borderId="0" xfId="0" applyFont="1" applyFill="1" applyAlignment="1">
      <alignment horizontal="center" vertical="center" wrapText="1"/>
    </xf>
    <xf numFmtId="0" fontId="0" fillId="10" borderId="0" xfId="0" applyFill="1"/>
    <xf numFmtId="0" fontId="15" fillId="0" borderId="0" xfId="0" applyFont="1"/>
    <xf numFmtId="18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 wrapText="1"/>
    </xf>
    <xf numFmtId="189" fontId="0" fillId="0" borderId="0" xfId="0" applyNumberFormat="1"/>
    <xf numFmtId="0" fontId="3" fillId="10" borderId="0" xfId="0" applyFont="1" applyFill="1" applyAlignment="1">
      <alignment horizontal="center"/>
    </xf>
    <xf numFmtId="0" fontId="3" fillId="15" borderId="40" xfId="0" applyFont="1" applyFill="1" applyBorder="1" applyAlignment="1">
      <alignment horizontal="center"/>
    </xf>
    <xf numFmtId="0" fontId="5" fillId="10" borderId="40" xfId="0" applyFont="1" applyFill="1" applyBorder="1" applyAlignment="1">
      <alignment horizontal="center"/>
    </xf>
    <xf numFmtId="0" fontId="16" fillId="15" borderId="62" xfId="0" applyFont="1" applyFill="1" applyBorder="1" applyAlignment="1">
      <alignment horizontal="center"/>
    </xf>
    <xf numFmtId="0" fontId="3" fillId="10" borderId="62" xfId="0" applyFont="1" applyFill="1" applyBorder="1" applyAlignment="1">
      <alignment horizontal="center"/>
    </xf>
    <xf numFmtId="0" fontId="3" fillId="15" borderId="62" xfId="0" applyFont="1" applyFill="1" applyBorder="1" applyAlignment="1">
      <alignment horizontal="center"/>
    </xf>
    <xf numFmtId="0" fontId="3" fillId="4" borderId="62" xfId="0" applyFont="1" applyFill="1" applyBorder="1" applyAlignment="1">
      <alignment horizontal="center"/>
    </xf>
    <xf numFmtId="10" fontId="0" fillId="0" borderId="0" xfId="2" applyNumberFormat="1" applyFont="1" applyBorder="1"/>
    <xf numFmtId="10" fontId="0" fillId="0" borderId="1" xfId="2" applyNumberFormat="1" applyFont="1" applyBorder="1"/>
    <xf numFmtId="0" fontId="0" fillId="0" borderId="3" xfId="0" applyBorder="1"/>
    <xf numFmtId="10" fontId="0" fillId="0" borderId="2" xfId="2" applyNumberFormat="1" applyFont="1" applyBorder="1"/>
    <xf numFmtId="0" fontId="5" fillId="10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17" fillId="15" borderId="62" xfId="0" applyFont="1" applyFill="1" applyBorder="1" applyAlignment="1">
      <alignment horizontal="center"/>
    </xf>
    <xf numFmtId="0" fontId="16" fillId="10" borderId="62" xfId="0" applyFont="1" applyFill="1" applyBorder="1" applyAlignment="1">
      <alignment horizontal="center"/>
    </xf>
    <xf numFmtId="168" fontId="18" fillId="0" borderId="0" xfId="2" applyNumberFormat="1" applyFont="1"/>
    <xf numFmtId="168" fontId="0" fillId="0" borderId="0" xfId="2" applyNumberFormat="1" applyFont="1"/>
    <xf numFmtId="0" fontId="0" fillId="0" borderId="0" xfId="0" applyAlignment="1">
      <alignment horizontal="right"/>
    </xf>
    <xf numFmtId="185" fontId="0" fillId="0" borderId="70" xfId="0" applyNumberFormat="1" applyBorder="1"/>
    <xf numFmtId="1" fontId="0" fillId="0" borderId="71" xfId="0" applyNumberFormat="1" applyBorder="1" applyAlignment="1">
      <alignment horizontal="center"/>
    </xf>
    <xf numFmtId="1" fontId="0" fillId="0" borderId="7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</cellXfs>
  <cellStyles count="5">
    <cellStyle name="Hipervínculo" xfId="4" builtinId="8"/>
    <cellStyle name="Millares 2" xfId="3" xr:uid="{A3CF1190-3CD5-4FE5-A214-86D64DBA88A7}"/>
    <cellStyle name="Moneda" xfId="1" builtinId="4"/>
    <cellStyle name="Normal" xfId="0" builtinId="0"/>
    <cellStyle name="Porcentaje" xfId="2" builtinId="5"/>
  </cellStyles>
  <dxfs count="92"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C6EFCE"/>
        </patternFill>
      </fill>
    </dxf>
    <dxf>
      <font>
        <color rgb="FFFF00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C6EFCE"/>
        </patternFill>
      </fill>
    </dxf>
    <dxf>
      <font>
        <color rgb="FFFF00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7" formatCode="#,##0.00\ &quot;€&quot;"/>
    </dxf>
    <dxf>
      <numFmt numFmtId="181" formatCode="#,##0.0000\ &quot;€&quot;;[Red]\-#,##0.0000\ &quot;€&quot;"/>
    </dxf>
    <dxf>
      <numFmt numFmtId="181" formatCode="#,##0.0000\ &quot;€&quot;;[Red]\-#,##0.0000\ &quot;€&quot;"/>
    </dxf>
    <dxf>
      <numFmt numFmtId="176" formatCode="0.0\ &quot;d&quot;"/>
    </dxf>
    <dxf>
      <numFmt numFmtId="12" formatCode="#,##0.00\ &quot;€&quot;;[Red]\-#,##0.00\ &quot;€&quot;"/>
    </dxf>
    <dxf>
      <numFmt numFmtId="179" formatCode="0.00%\ ;[Red]\-0.00%\ "/>
    </dxf>
    <dxf>
      <numFmt numFmtId="12" formatCode="#,##0.00\ &quot;€&quot;;[Red]\-#,##0.00\ &quot;€&quot;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7" formatCode="#,##0.00\ &quot;€&quot;"/>
    </dxf>
    <dxf>
      <numFmt numFmtId="181" formatCode="#,##0.0000\ &quot;€&quot;;[Red]\-#,##0.0000\ &quot;€&quot;"/>
    </dxf>
    <dxf>
      <numFmt numFmtId="181" formatCode="#,##0.0000\ &quot;€&quot;;[Red]\-#,##0.0000\ &quot;€&quot;"/>
    </dxf>
    <dxf>
      <numFmt numFmtId="176" formatCode="0.0\ &quot;d&quot;"/>
    </dxf>
    <dxf>
      <numFmt numFmtId="12" formatCode="#,##0.00\ &quot;€&quot;;[Red]\-#,##0.00\ &quot;€&quot;"/>
    </dxf>
    <dxf>
      <numFmt numFmtId="179" formatCode="0.00%\ ;[Red]\-0.00%\ "/>
    </dxf>
    <dxf>
      <numFmt numFmtId="12" formatCode="#,##0.00\ &quot;€&quot;;[Red]\-#,##0.00\ &quot;€&quot;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76" formatCode="0.0\ &quot;d&quot;"/>
    </dxf>
    <dxf>
      <numFmt numFmtId="12" formatCode="#,##0.00\ &quot;€&quot;;[Red]\-#,##0.00\ &quot;€&quot;"/>
    </dxf>
    <dxf>
      <numFmt numFmtId="179" formatCode="0.00%\ ;[Red]\-0.00%\ "/>
    </dxf>
    <dxf>
      <numFmt numFmtId="180" formatCode="#,###%;[Red]\-#,###%"/>
    </dxf>
    <dxf>
      <numFmt numFmtId="174" formatCode="#,###.00%;[Red]\-#,###.00%"/>
    </dxf>
    <dxf>
      <numFmt numFmtId="174" formatCode="#,###.00%;[Red]\-#,###.00%"/>
    </dxf>
    <dxf>
      <numFmt numFmtId="12" formatCode="#,##0.00\ &quot;€&quot;;[Red]\-#,##0.00\ &quot;€&quot;"/>
    </dxf>
    <dxf>
      <numFmt numFmtId="171" formatCode="#,###&quot; d&quot;;[Red]\-#,###&quot; d&quot;"/>
    </dxf>
    <dxf>
      <numFmt numFmtId="19" formatCode="dd/mm/yyyy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76" formatCode="0.0\ &quot;d&quot;"/>
    </dxf>
    <dxf>
      <numFmt numFmtId="12" formatCode="#,##0.00\ &quot;€&quot;;[Red]\-#,##0.00\ &quot;€&quot;"/>
    </dxf>
    <dxf>
      <numFmt numFmtId="179" formatCode="0.00%\ ;[Red]\-0.00%\ "/>
    </dxf>
    <dxf>
      <numFmt numFmtId="180" formatCode="#,###%;[Red]\-#,###%"/>
    </dxf>
    <dxf>
      <numFmt numFmtId="174" formatCode="#,###.00%;[Red]\-#,###.00%"/>
    </dxf>
    <dxf>
      <numFmt numFmtId="174" formatCode="#,###.00%;[Red]\-#,###.00%"/>
    </dxf>
    <dxf>
      <numFmt numFmtId="12" formatCode="#,##0.00\ &quot;€&quot;;[Red]\-#,##0.00\ &quot;€&quot;"/>
    </dxf>
    <dxf>
      <numFmt numFmtId="171" formatCode="#,###&quot; d&quot;;[Red]\-#,###&quot; d&quot;"/>
    </dxf>
    <dxf>
      <numFmt numFmtId="19" formatCode="dd/mm/yyyy"/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5" formatCode="0.00\ &quot;X&quot;;[Red]\-0.00\ &quot;x&quot;"/>
    </dxf>
    <dxf>
      <numFmt numFmtId="165" formatCode="0.00\ &quot;X&quot;;[Red]\-0.00\ &quot;x&quot;"/>
    </dxf>
    <dxf>
      <numFmt numFmtId="164" formatCode="_-* #,##0.00\ [$€-C0A]_-;\-* #,##0.00\ [$€-C0A]_-;_-* &quot;-&quot;??\ [$€-C0A]_-;_-@_-"/>
    </dxf>
    <dxf>
      <numFmt numFmtId="167" formatCode="#,##0.00\ &quot;€&quot;"/>
    </dxf>
    <dxf>
      <numFmt numFmtId="176" formatCode="0.0\ &quot;d&quot;"/>
    </dxf>
    <dxf>
      <numFmt numFmtId="167" formatCode="#,##0.00\ &quot;€&quot;"/>
    </dxf>
    <dxf>
      <numFmt numFmtId="177" formatCode="#,##0.0000\ &quot;€&quot;"/>
    </dxf>
    <dxf>
      <font>
        <b/>
      </font>
    </dxf>
    <dxf>
      <numFmt numFmtId="168" formatCode="#,###.000%;[Red]\-#,###.000%"/>
    </dxf>
    <dxf>
      <numFmt numFmtId="168" formatCode="#,###.000%;[Red]\-#,###.000%"/>
    </dxf>
    <dxf>
      <numFmt numFmtId="164" formatCode="_-* #,##0.00\ [$€-C0A]_-;\-* #,##0.00\ [$€-C0A]_-;_-* &quot;-&quot;??\ [$€-C0A]_-;_-@_-"/>
    </dxf>
    <dxf>
      <numFmt numFmtId="165" formatCode="0.00\ &quot;X&quot;;[Red]\-0.00\ &quot;x&quot;"/>
    </dxf>
    <dxf>
      <numFmt numFmtId="164" formatCode="_-* #,##0.00\ [$€-C0A]_-;\-* #,##0.00\ [$€-C0A]_-;_-* &quot;-&quot;??\ [$€-C0A]_-;_-@_-"/>
    </dxf>
    <dxf>
      <numFmt numFmtId="165" formatCode="0.00\ &quot;X&quot;;[Red]\-0.00\ &quot;x&quot;"/>
    </dxf>
    <dxf>
      <font>
        <b/>
      </font>
    </dxf>
    <dxf>
      <numFmt numFmtId="12" formatCode="#,##0.00\ &quot;€&quot;;[Red]\-#,##0.00\ &quot;€&quot;"/>
    </dxf>
    <dxf>
      <numFmt numFmtId="165" formatCode="0.00\ &quot;X&quot;;[Red]\-0.00\ &quot;x&quot;"/>
    </dxf>
    <dxf>
      <font>
        <b/>
      </font>
    </dxf>
    <dxf>
      <font>
        <b/>
      </font>
    </dxf>
    <dxf>
      <font>
        <b/>
      </font>
    </dxf>
    <dxf>
      <numFmt numFmtId="164" formatCode="_-* #,##0.00\ [$€-C0A]_-;\-* #,##0.00\ [$€-C0A]_-;_-* &quot;-&quot;??\ [$€-C0A]_-;_-@_-"/>
    </dxf>
    <dxf>
      <numFmt numFmtId="164" formatCode="_-* #,##0.00\ [$€-C0A]_-;\-* #,##0.00\ [$€-C0A]_-;_-* &quot;-&quot;??\ [$€-C0A]_-;_-@_-"/>
    </dxf>
    <dxf>
      <numFmt numFmtId="165" formatCode="0.00\ &quot;X&quot;;[Red]\-0.00\ &quot;x&quot;"/>
    </dxf>
    <dxf>
      <numFmt numFmtId="165" formatCode="0.00\ &quot;X&quot;;[Red]\-0.00\ &quot;x&quot;"/>
    </dxf>
    <dxf>
      <numFmt numFmtId="164" formatCode="_-* #,##0.00\ [$€-C0A]_-;\-* #,##0.00\ [$€-C0A]_-;_-* &quot;-&quot;??\ [$€-C0A]_-;_-@_-"/>
    </dxf>
    <dxf>
      <numFmt numFmtId="166" formatCode="[$-C0A]d\-mmm\-yy;@"/>
    </dxf>
    <dxf>
      <numFmt numFmtId="166" formatCode="[$-C0A]d\-mmm\-yy;@"/>
    </dxf>
    <dxf>
      <numFmt numFmtId="167" formatCode="#,##0.00\ &quot;€&quot;"/>
    </dxf>
    <dxf>
      <numFmt numFmtId="164" formatCode="_-* #,##0.00\ [$€-C0A]_-;\-* #,##0.00\ [$€-C0A]_-;_-* &quot;-&quot;??\ [$€-C0A]_-;_-@_-"/>
    </dxf>
    <dxf>
      <numFmt numFmtId="165" formatCode="0.00\ &quot;X&quot;;[Red]\-0.00\ &quot;x&quot;"/>
    </dxf>
    <dxf>
      <numFmt numFmtId="166" formatCode="[$-C0A]d\-mmm\-yy;@"/>
    </dxf>
    <dxf>
      <numFmt numFmtId="166" formatCode="[$-C0A]d\-mmm\-yy;@"/>
    </dxf>
    <dxf>
      <numFmt numFmtId="165" formatCode="0.00\ &quot;X&quot;;[Red]\-0.00\ &quot;x&quot;"/>
    </dxf>
    <dxf>
      <numFmt numFmtId="164" formatCode="_-* #,##0.00\ [$€-C0A]_-;\-* #,##0.00\ [$€-C0A]_-;_-* &quot;-&quot;??\ [$€-C0A]_-;_-@_-"/>
    </dxf>
    <dxf>
      <numFmt numFmtId="168" formatCode="#,###.000%;[Red]\-#,###.000%"/>
    </dxf>
    <dxf>
      <numFmt numFmtId="164" formatCode="_-* #,##0.00\ [$€-C0A]_-;\-* #,##0.00\ [$€-C0A]_-;_-* &quot;-&quot;??\ [$€-C0A]_-;_-@_-"/>
    </dxf>
    <dxf>
      <numFmt numFmtId="165" formatCode="0.00\ &quot;X&quot;;[Red]\-0.00\ &quot;x&quot;"/>
    </dxf>
    <dxf>
      <numFmt numFmtId="12" formatCode="#,##0.00\ &quot;€&quot;;[Red]\-#,##0.00\ &quot;€&quot;"/>
    </dxf>
    <dxf>
      <numFmt numFmtId="165" formatCode="0.00\ &quot;X&quot;;[Red]\-0.00\ &quot;x&quot;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A6DDF883FB6F4AA/Documentos/Owner%2019/documents/Aut&#243;nomo/Projects/Traders/project%20book%20v2-DESKTOP-DGNAOIQ.xlsx" TargetMode="External"/><Relationship Id="rId1" Type="http://schemas.openxmlformats.org/officeDocument/2006/relationships/externalLinkPath" Target="project%20book%20v2-DESKTOP-DGNAOI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Base"/>
      <sheetName val="Loans"/>
      <sheetName val="Frutas"/>
      <sheetName val="Córdoba"/>
      <sheetName val="Bellavista"/>
      <sheetName val="Receipes"/>
      <sheetName val="Sx"/>
      <sheetName val="Sx LT"/>
      <sheetName val="Script"/>
      <sheetName val="TradBkinter"/>
      <sheetName val="Plan"/>
      <sheetName val="Open"/>
      <sheetName val="Close dating + (2)"/>
      <sheetName val="Close dating +"/>
      <sheetName val="Close dating - (2)"/>
      <sheetName val="Close dating -"/>
      <sheetName val="Close All (2)"/>
      <sheetName val="Close All"/>
      <sheetName val="Close +"/>
      <sheetName val="Close -"/>
      <sheetName val="Trading Ops"/>
      <sheetName val="Input"/>
      <sheetName val="Swing_Trading_TradingView"/>
      <sheetName val="tabla1"/>
      <sheetName val="Swing_82_PE_SL_TP"/>
      <sheetName val="Ranking Semanal"/>
      <sheetName val="Incoming"/>
      <sheetName val="Trading"/>
      <sheetName val="CF IRR"/>
      <sheetName val="Charts"/>
      <sheetName val="Sx LT (yo)"/>
      <sheetName val="Retirement"/>
      <sheetName val="Cash-Flow"/>
      <sheetName val="Olivier"/>
      <sheetName val="Coronavirus"/>
      <sheetName val="Ricar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46034</v>
          </cell>
          <cell r="C2">
            <v>46035</v>
          </cell>
          <cell r="D2">
            <v>46036</v>
          </cell>
          <cell r="E2">
            <v>46037</v>
          </cell>
          <cell r="F2">
            <v>46038</v>
          </cell>
          <cell r="G2">
            <v>46039</v>
          </cell>
          <cell r="L2" t="str">
            <v>PROMEDIO</v>
          </cell>
        </row>
        <row r="3">
          <cell r="A3" t="str">
            <v>1RHM</v>
          </cell>
          <cell r="B3">
            <v>1894.5</v>
          </cell>
          <cell r="C3">
            <v>1891</v>
          </cell>
          <cell r="D3">
            <v>1904</v>
          </cell>
          <cell r="E3">
            <v>1901.5</v>
          </cell>
          <cell r="F3">
            <v>1918</v>
          </cell>
          <cell r="G3">
            <v>1906.5</v>
          </cell>
          <cell r="K3" t="str">
            <v>1RHM</v>
          </cell>
          <cell r="L3">
            <v>1.279144422705536E-3</v>
          </cell>
          <cell r="M3">
            <v>-1.847453153866474E-3</v>
          </cell>
          <cell r="N3">
            <v>6.8746694870438496E-3</v>
          </cell>
          <cell r="O3">
            <v>-1.3130252100840289E-3</v>
          </cell>
          <cell r="P3">
            <v>8.6773599789640166E-3</v>
          </cell>
          <cell r="Q3">
            <v>-5.9958289885296834E-3</v>
          </cell>
        </row>
        <row r="4">
          <cell r="A4" t="str">
            <v>ABIN</v>
          </cell>
          <cell r="B4">
            <v>56.92</v>
          </cell>
          <cell r="C4">
            <v>56.94</v>
          </cell>
          <cell r="D4">
            <v>57.37</v>
          </cell>
          <cell r="E4">
            <v>59.54</v>
          </cell>
          <cell r="F4">
            <v>59.38</v>
          </cell>
          <cell r="G4">
            <v>59.14</v>
          </cell>
          <cell r="K4" t="str">
            <v>ABIN</v>
          </cell>
          <cell r="L4">
            <v>7.7997584654510678E-3</v>
          </cell>
          <cell r="M4">
            <v>3.5137034434296055E-4</v>
          </cell>
          <cell r="N4">
            <v>7.5518089216719542E-3</v>
          </cell>
          <cell r="O4">
            <v>3.7824647028063429E-2</v>
          </cell>
          <cell r="P4">
            <v>-2.6872690628149121E-3</v>
          </cell>
          <cell r="Q4">
            <v>-4.0417649040080939E-3</v>
          </cell>
        </row>
        <row r="5">
          <cell r="A5" t="str">
            <v>ACX</v>
          </cell>
          <cell r="B5">
            <v>13.2</v>
          </cell>
          <cell r="C5">
            <v>13.07</v>
          </cell>
          <cell r="D5">
            <v>13.34</v>
          </cell>
          <cell r="E5">
            <v>13.26</v>
          </cell>
          <cell r="F5">
            <v>13.47</v>
          </cell>
          <cell r="G5">
            <v>13.25</v>
          </cell>
          <cell r="K5" t="str">
            <v>ACX</v>
          </cell>
          <cell r="L5">
            <v>8.6340443823227362E-4</v>
          </cell>
          <cell r="M5">
            <v>-9.8484848484847731E-3</v>
          </cell>
          <cell r="N5">
            <v>2.0657995409334218E-2</v>
          </cell>
          <cell r="O5">
            <v>-5.9970014992504206E-3</v>
          </cell>
          <cell r="P5">
            <v>1.5837104072398356E-2</v>
          </cell>
          <cell r="Q5">
            <v>-1.6332590942836012E-2</v>
          </cell>
        </row>
        <row r="6">
          <cell r="A6" t="str">
            <v>AIR:FP</v>
          </cell>
          <cell r="B6">
            <v>216.45</v>
          </cell>
          <cell r="C6">
            <v>217.65</v>
          </cell>
          <cell r="D6">
            <v>220.05</v>
          </cell>
          <cell r="E6">
            <v>213.55</v>
          </cell>
          <cell r="F6">
            <v>214.55</v>
          </cell>
          <cell r="G6">
            <v>216.8</v>
          </cell>
          <cell r="K6" t="str">
            <v>AIR:FP</v>
          </cell>
          <cell r="L6">
            <v>4.4039048080251052E-4</v>
          </cell>
          <cell r="M6">
            <v>5.5440055440056923E-3</v>
          </cell>
          <cell r="N6">
            <v>1.1026878015161889E-2</v>
          </cell>
          <cell r="O6">
            <v>-2.953874119518296E-2</v>
          </cell>
          <cell r="P6">
            <v>4.6827440880354843E-3</v>
          </cell>
          <cell r="Q6">
            <v>1.0487065951992447E-2</v>
          </cell>
        </row>
        <row r="7">
          <cell r="A7" t="str">
            <v>AIR:NYSE</v>
          </cell>
          <cell r="B7">
            <v>97.91</v>
          </cell>
          <cell r="C7">
            <v>98.23</v>
          </cell>
          <cell r="D7">
            <v>97.71</v>
          </cell>
          <cell r="E7">
            <v>101.08</v>
          </cell>
          <cell r="F7">
            <v>105.74</v>
          </cell>
          <cell r="G7">
            <v>105.08</v>
          </cell>
          <cell r="K7" t="str">
            <v>AIR:NYSE</v>
          </cell>
          <cell r="L7">
            <v>1.4464959666863097E-2</v>
          </cell>
          <cell r="M7">
            <v>3.2683076294557356E-3</v>
          </cell>
          <cell r="N7">
            <v>-5.2936984627914851E-3</v>
          </cell>
          <cell r="O7">
            <v>3.4489816804830653E-2</v>
          </cell>
          <cell r="P7">
            <v>4.6102097348634796E-2</v>
          </cell>
          <cell r="Q7">
            <v>-6.2417249858142121E-3</v>
          </cell>
        </row>
        <row r="8">
          <cell r="A8" t="str">
            <v>ALC</v>
          </cell>
          <cell r="B8">
            <v>80.83</v>
          </cell>
          <cell r="C8">
            <v>80.86</v>
          </cell>
          <cell r="D8">
            <v>78.989999999999995</v>
          </cell>
          <cell r="E8">
            <v>80.11</v>
          </cell>
          <cell r="F8">
            <v>79.67</v>
          </cell>
          <cell r="G8">
            <v>79</v>
          </cell>
          <cell r="K8" t="str">
            <v>ALC</v>
          </cell>
          <cell r="L8">
            <v>-4.4956739643745355E-3</v>
          </cell>
          <cell r="M8">
            <v>3.7114932574544568E-4</v>
          </cell>
          <cell r="N8">
            <v>-2.3126391293593951E-2</v>
          </cell>
          <cell r="O8">
            <v>1.4179010001265979E-2</v>
          </cell>
          <cell r="P8">
            <v>-5.4924478841592572E-3</v>
          </cell>
          <cell r="Q8">
            <v>-8.4096899711308959E-3</v>
          </cell>
        </row>
        <row r="9">
          <cell r="A9" t="str">
            <v>ALM</v>
          </cell>
          <cell r="B9">
            <v>12.76</v>
          </cell>
          <cell r="C9">
            <v>13.12</v>
          </cell>
          <cell r="D9">
            <v>13.08</v>
          </cell>
          <cell r="E9">
            <v>13.14</v>
          </cell>
          <cell r="F9">
            <v>13.18</v>
          </cell>
          <cell r="G9">
            <v>13.22</v>
          </cell>
          <cell r="K9" t="str">
            <v>ALM</v>
          </cell>
          <cell r="L9">
            <v>7.1661166031691259E-3</v>
          </cell>
          <cell r="M9">
            <v>2.8213166144200663E-2</v>
          </cell>
          <cell r="N9">
            <v>-3.0487804878047697E-3</v>
          </cell>
          <cell r="O9">
            <v>4.5871559633028358E-3</v>
          </cell>
          <cell r="P9">
            <v>3.0441400304412891E-3</v>
          </cell>
          <cell r="Q9">
            <v>3.0349013657056112E-3</v>
          </cell>
        </row>
        <row r="10">
          <cell r="A10" t="str">
            <v>AMP</v>
          </cell>
          <cell r="B10">
            <v>0.19</v>
          </cell>
          <cell r="C10">
            <v>0.19</v>
          </cell>
          <cell r="D10">
            <v>0.19</v>
          </cell>
          <cell r="E10">
            <v>0.19</v>
          </cell>
          <cell r="F10">
            <v>0.18</v>
          </cell>
          <cell r="G10">
            <v>0.18</v>
          </cell>
          <cell r="K10" t="str">
            <v>AMP</v>
          </cell>
          <cell r="L10">
            <v>-1.0526315789473694E-2</v>
          </cell>
          <cell r="M10">
            <v>0</v>
          </cell>
          <cell r="N10">
            <v>0</v>
          </cell>
          <cell r="O10">
            <v>0</v>
          </cell>
          <cell r="P10">
            <v>-5.2631578947368474E-2</v>
          </cell>
          <cell r="Q10">
            <v>0</v>
          </cell>
        </row>
        <row r="11">
          <cell r="A11" t="str">
            <v>AMS</v>
          </cell>
          <cell r="B11">
            <v>64.260000000000005</v>
          </cell>
          <cell r="C11">
            <v>63.46</v>
          </cell>
          <cell r="D11">
            <v>63.2</v>
          </cell>
          <cell r="E11">
            <v>61.36</v>
          </cell>
          <cell r="F11">
            <v>61.44</v>
          </cell>
          <cell r="G11">
            <v>60.8</v>
          </cell>
          <cell r="K11" t="str">
            <v>AMS</v>
          </cell>
          <cell r="L11">
            <v>-1.095466059729735E-2</v>
          </cell>
          <cell r="M11">
            <v>-1.24494242141302E-2</v>
          </cell>
          <cell r="N11">
            <v>-4.0970690198549597E-3</v>
          </cell>
          <cell r="O11">
            <v>-2.9113924050632956E-2</v>
          </cell>
          <cell r="P11">
            <v>1.3037809647979959E-3</v>
          </cell>
          <cell r="Q11">
            <v>-1.041666666666663E-2</v>
          </cell>
        </row>
        <row r="12">
          <cell r="A12" t="str">
            <v>AMZN</v>
          </cell>
          <cell r="B12">
            <v>247.6</v>
          </cell>
          <cell r="C12">
            <v>246.47</v>
          </cell>
          <cell r="D12">
            <v>242.6</v>
          </cell>
          <cell r="E12">
            <v>236.65</v>
          </cell>
          <cell r="F12">
            <v>238.18</v>
          </cell>
          <cell r="G12">
            <v>239.12</v>
          </cell>
          <cell r="K12" t="str">
            <v>AMZN</v>
          </cell>
          <cell r="L12">
            <v>-6.8759300697742278E-3</v>
          </cell>
          <cell r="M12">
            <v>-4.5638126009692748E-3</v>
          </cell>
          <cell r="N12">
            <v>-1.5701708118635138E-2</v>
          </cell>
          <cell r="O12">
            <v>-2.4525968672712284E-2</v>
          </cell>
          <cell r="P12">
            <v>6.4652440312698012E-3</v>
          </cell>
          <cell r="Q12">
            <v>3.9465950121757576E-3</v>
          </cell>
        </row>
        <row r="13">
          <cell r="A13" t="str">
            <v>ASML</v>
          </cell>
          <cell r="B13">
            <v>1266.8800000000001</v>
          </cell>
          <cell r="C13">
            <v>1093.8</v>
          </cell>
          <cell r="D13">
            <v>1102.5999999999999</v>
          </cell>
          <cell r="E13">
            <v>1130.4000000000001</v>
          </cell>
          <cell r="F13">
            <v>1149.4000000000001</v>
          </cell>
          <cell r="G13">
            <v>1167.2</v>
          </cell>
          <cell r="K13" t="str">
            <v>ASML</v>
          </cell>
          <cell r="L13">
            <v>-1.421321329085048E-2</v>
          </cell>
          <cell r="M13">
            <v>-0.13661909573124542</v>
          </cell>
          <cell r="N13">
            <v>8.0453464984457934E-3</v>
          </cell>
          <cell r="O13">
            <v>2.521313259568303E-2</v>
          </cell>
          <cell r="P13">
            <v>1.6808209483368808E-2</v>
          </cell>
          <cell r="Q13">
            <v>1.5486340699495393E-2</v>
          </cell>
        </row>
        <row r="14">
          <cell r="A14" t="str">
            <v>BA</v>
          </cell>
          <cell r="B14">
            <v>237.29</v>
          </cell>
          <cell r="C14">
            <v>239.81</v>
          </cell>
          <cell r="D14">
            <v>244.55</v>
          </cell>
          <cell r="E14">
            <v>242.61</v>
          </cell>
          <cell r="F14">
            <v>247.74</v>
          </cell>
          <cell r="G14">
            <v>247.68</v>
          </cell>
          <cell r="K14" t="str">
            <v>BA</v>
          </cell>
          <cell r="L14">
            <v>8.6710969055996175E-3</v>
          </cell>
          <cell r="M14">
            <v>1.0619916557798481E-2</v>
          </cell>
          <cell r="N14">
            <v>1.9765647804511843E-2</v>
          </cell>
          <cell r="O14">
            <v>-7.9329380494785884E-3</v>
          </cell>
          <cell r="P14">
            <v>2.1145047607270984E-2</v>
          </cell>
          <cell r="Q14">
            <v>-2.4218939210463031E-4</v>
          </cell>
        </row>
        <row r="15">
          <cell r="A15" t="str">
            <v>BAESY</v>
          </cell>
          <cell r="B15">
            <v>114.01</v>
          </cell>
          <cell r="C15">
            <v>114.13</v>
          </cell>
          <cell r="D15">
            <v>112.31</v>
          </cell>
          <cell r="E15">
            <v>109.85</v>
          </cell>
          <cell r="F15">
            <v>110.42</v>
          </cell>
          <cell r="G15">
            <v>113.41</v>
          </cell>
          <cell r="K15" t="str">
            <v>BAESY</v>
          </cell>
          <cell r="L15">
            <v>-9.0610518233393835E-4</v>
          </cell>
          <cell r="M15">
            <v>1.0525392509428411E-3</v>
          </cell>
          <cell r="N15">
            <v>-1.5946727416104367E-2</v>
          </cell>
          <cell r="O15">
            <v>-2.1903659513845652E-2</v>
          </cell>
          <cell r="P15">
            <v>5.1888939462905181E-3</v>
          </cell>
          <cell r="Q15">
            <v>2.7078427821046969E-2</v>
          </cell>
        </row>
        <row r="16">
          <cell r="A16" t="str">
            <v>BBVA</v>
          </cell>
          <cell r="B16">
            <v>20.65</v>
          </cell>
          <cell r="C16">
            <v>20.93</v>
          </cell>
          <cell r="D16">
            <v>21.01</v>
          </cell>
          <cell r="E16">
            <v>21.11</v>
          </cell>
          <cell r="F16">
            <v>20.91</v>
          </cell>
          <cell r="G16">
            <v>20.95</v>
          </cell>
          <cell r="K16" t="str">
            <v>BBVA</v>
          </cell>
          <cell r="L16">
            <v>2.9160004895129044E-3</v>
          </cell>
          <cell r="M16">
            <v>1.3559322033898313E-2</v>
          </cell>
          <cell r="N16">
            <v>3.8222646918300018E-3</v>
          </cell>
          <cell r="O16">
            <v>4.7596382674914839E-3</v>
          </cell>
          <cell r="P16">
            <v>-9.4741828517289628E-3</v>
          </cell>
          <cell r="Q16">
            <v>1.9129603060736855E-3</v>
          </cell>
        </row>
        <row r="17">
          <cell r="A17" t="str">
            <v>BKT</v>
          </cell>
          <cell r="B17">
            <v>14.1</v>
          </cell>
          <cell r="C17">
            <v>14.21</v>
          </cell>
          <cell r="D17">
            <v>14.19</v>
          </cell>
          <cell r="E17">
            <v>14.37</v>
          </cell>
          <cell r="F17">
            <v>14.21</v>
          </cell>
          <cell r="G17">
            <v>14.24</v>
          </cell>
          <cell r="K17" t="str">
            <v>BKT</v>
          </cell>
          <cell r="L17">
            <v>2.011166010282772E-3</v>
          </cell>
          <cell r="M17">
            <v>7.8014184397163788E-3</v>
          </cell>
          <cell r="N17">
            <v>-1.4074595355384467E-3</v>
          </cell>
          <cell r="O17">
            <v>1.2684989429175397E-2</v>
          </cell>
          <cell r="P17">
            <v>-1.1134307585246916E-2</v>
          </cell>
          <cell r="Q17">
            <v>2.111189303307448E-3</v>
          </cell>
        </row>
        <row r="18">
          <cell r="A18" t="str">
            <v>BSP</v>
          </cell>
          <cell r="B18">
            <v>28.4</v>
          </cell>
          <cell r="C18">
            <v>27.83</v>
          </cell>
          <cell r="D18">
            <v>28</v>
          </cell>
          <cell r="E18">
            <v>27.01</v>
          </cell>
          <cell r="F18">
            <v>27.01</v>
          </cell>
          <cell r="G18">
            <v>28.1</v>
          </cell>
          <cell r="K18" t="str">
            <v>BSP</v>
          </cell>
          <cell r="L18">
            <v>-1.7927250970694475E-3</v>
          </cell>
          <cell r="M18">
            <v>-2.0070422535211296E-2</v>
          </cell>
          <cell r="N18">
            <v>6.1085159899390007E-3</v>
          </cell>
          <cell r="O18">
            <v>-3.5357142857142754E-2</v>
          </cell>
          <cell r="P18">
            <v>0</v>
          </cell>
          <cell r="Q18">
            <v>4.0355423917067812E-2</v>
          </cell>
        </row>
        <row r="19">
          <cell r="A19" t="str">
            <v>CABK</v>
          </cell>
          <cell r="B19">
            <v>10.62</v>
          </cell>
          <cell r="C19">
            <v>10.71</v>
          </cell>
          <cell r="D19">
            <v>10.73</v>
          </cell>
          <cell r="E19">
            <v>10.82</v>
          </cell>
          <cell r="F19">
            <v>10.61</v>
          </cell>
          <cell r="G19">
            <v>10.71</v>
          </cell>
          <cell r="K19" t="str">
            <v>CABK</v>
          </cell>
          <cell r="L19">
            <v>1.749251172312749E-3</v>
          </cell>
          <cell r="M19">
            <v>8.4745762711866401E-3</v>
          </cell>
          <cell r="N19">
            <v>1.8674136321195078E-3</v>
          </cell>
          <cell r="O19">
            <v>8.3876980428705394E-3</v>
          </cell>
          <cell r="P19">
            <v>-1.9408502772643277E-2</v>
          </cell>
          <cell r="Q19">
            <v>9.4250706880303348E-3</v>
          </cell>
        </row>
        <row r="20">
          <cell r="A20" t="str">
            <v>CASH</v>
          </cell>
          <cell r="B20">
            <v>0.64</v>
          </cell>
          <cell r="C20">
            <v>0.64</v>
          </cell>
          <cell r="D20">
            <v>0.63</v>
          </cell>
          <cell r="E20">
            <v>0.62</v>
          </cell>
          <cell r="F20">
            <v>0.63</v>
          </cell>
          <cell r="G20">
            <v>0.62</v>
          </cell>
          <cell r="K20" t="str">
            <v>CASH</v>
          </cell>
          <cell r="L20">
            <v>-6.2483998975934709E-3</v>
          </cell>
          <cell r="M20">
            <v>0</v>
          </cell>
          <cell r="N20">
            <v>-1.5625E-2</v>
          </cell>
          <cell r="O20">
            <v>-1.5873015873015928E-2</v>
          </cell>
          <cell r="P20">
            <v>1.6129032258064502E-2</v>
          </cell>
          <cell r="Q20">
            <v>-1.5873015873015928E-2</v>
          </cell>
        </row>
        <row r="21">
          <cell r="A21" t="str">
            <v>CIRSA</v>
          </cell>
          <cell r="B21">
            <v>14.28</v>
          </cell>
          <cell r="C21">
            <v>14.04</v>
          </cell>
          <cell r="D21">
            <v>13.98</v>
          </cell>
          <cell r="E21">
            <v>13.69</v>
          </cell>
          <cell r="F21">
            <v>13.95</v>
          </cell>
          <cell r="G21">
            <v>13.98</v>
          </cell>
          <cell r="K21" t="str">
            <v>CIRSA</v>
          </cell>
          <cell r="L21">
            <v>-4.1363288551622187E-3</v>
          </cell>
          <cell r="M21">
            <v>-1.6806722689075682E-2</v>
          </cell>
          <cell r="N21">
            <v>-4.2735042735041473E-3</v>
          </cell>
          <cell r="O21">
            <v>-2.0743919885550799E-2</v>
          </cell>
          <cell r="P21">
            <v>1.8991964937910888E-2</v>
          </cell>
          <cell r="Q21">
            <v>2.1505376344086446E-3</v>
          </cell>
        </row>
        <row r="22">
          <cell r="A22" t="str">
            <v>CRWD</v>
          </cell>
          <cell r="B22">
            <v>464</v>
          </cell>
          <cell r="C22">
            <v>466.99</v>
          </cell>
          <cell r="D22">
            <v>468.02</v>
          </cell>
          <cell r="E22">
            <v>460.7</v>
          </cell>
          <cell r="F22">
            <v>455</v>
          </cell>
          <cell r="G22">
            <v>453.88</v>
          </cell>
          <cell r="K22" t="str">
            <v>CRWD</v>
          </cell>
          <cell r="L22">
            <v>-4.3649584357347447E-3</v>
          </cell>
          <cell r="M22">
            <v>6.4439655172414678E-3</v>
          </cell>
          <cell r="N22">
            <v>2.2056146812565736E-3</v>
          </cell>
          <cell r="O22">
            <v>-1.5640357249690151E-2</v>
          </cell>
          <cell r="P22">
            <v>-1.23724766659431E-2</v>
          </cell>
          <cell r="Q22">
            <v>-2.461538461538515E-3</v>
          </cell>
        </row>
        <row r="23">
          <cell r="A23" t="str">
            <v>DDOG</v>
          </cell>
          <cell r="B23">
            <v>127.33</v>
          </cell>
          <cell r="C23">
            <v>126.57</v>
          </cell>
          <cell r="D23">
            <v>125.5</v>
          </cell>
          <cell r="E23">
            <v>122.41</v>
          </cell>
          <cell r="F23">
            <v>120.86</v>
          </cell>
          <cell r="G23">
            <v>119.02</v>
          </cell>
          <cell r="K23" t="str">
            <v>DDOG</v>
          </cell>
          <cell r="L23">
            <v>-1.33861334331133E-2</v>
          </cell>
          <cell r="M23">
            <v>-5.9687426372418972E-3</v>
          </cell>
          <cell r="N23">
            <v>-8.4538200205419578E-3</v>
          </cell>
          <cell r="O23">
            <v>-2.4621513944223183E-2</v>
          </cell>
          <cell r="P23">
            <v>-1.2662364185932473E-2</v>
          </cell>
          <cell r="Q23">
            <v>-1.5224226377626993E-2</v>
          </cell>
        </row>
        <row r="24">
          <cell r="A24" t="str">
            <v>DIA</v>
          </cell>
          <cell r="B24">
            <v>36.5</v>
          </cell>
          <cell r="C24">
            <v>36.35</v>
          </cell>
          <cell r="D24">
            <v>36.15</v>
          </cell>
          <cell r="E24">
            <v>38.1</v>
          </cell>
          <cell r="F24">
            <v>39.25</v>
          </cell>
          <cell r="G24">
            <v>38.450000000000003</v>
          </cell>
          <cell r="K24" t="str">
            <v>DIA</v>
          </cell>
          <cell r="L24">
            <v>1.0826363565578956E-2</v>
          </cell>
          <cell r="M24">
            <v>-4.109589041095818E-3</v>
          </cell>
          <cell r="N24">
            <v>-5.5020632737277086E-3</v>
          </cell>
          <cell r="O24">
            <v>5.3941908713692976E-2</v>
          </cell>
          <cell r="P24">
            <v>3.0183727034120755E-2</v>
          </cell>
          <cell r="Q24">
            <v>-2.0382165605095426E-2</v>
          </cell>
        </row>
        <row r="25">
          <cell r="A25" t="str">
            <v>EBRO</v>
          </cell>
          <cell r="B25">
            <v>18.34</v>
          </cell>
          <cell r="C25">
            <v>18.32</v>
          </cell>
          <cell r="D25">
            <v>18.28</v>
          </cell>
          <cell r="E25">
            <v>18.36</v>
          </cell>
          <cell r="F25">
            <v>18.3</v>
          </cell>
          <cell r="G25">
            <v>18.399999999999999</v>
          </cell>
          <cell r="K25" t="str">
            <v>EBRO</v>
          </cell>
          <cell r="L25">
            <v>6.5979119571120122E-4</v>
          </cell>
          <cell r="M25">
            <v>-1.0905125408942062E-3</v>
          </cell>
          <cell r="N25">
            <v>-2.1834061135370675E-3</v>
          </cell>
          <cell r="O25">
            <v>4.3763676148795838E-3</v>
          </cell>
          <cell r="P25">
            <v>-3.2679738562090277E-3</v>
          </cell>
          <cell r="Q25">
            <v>5.4644808743167239E-3</v>
          </cell>
        </row>
        <row r="26">
          <cell r="A26" t="str">
            <v>ELE</v>
          </cell>
          <cell r="B26">
            <v>30.71</v>
          </cell>
          <cell r="C26">
            <v>30.17</v>
          </cell>
          <cell r="D26">
            <v>29.96</v>
          </cell>
          <cell r="E26">
            <v>30.66</v>
          </cell>
          <cell r="F26">
            <v>30.71</v>
          </cell>
          <cell r="G26">
            <v>30.88</v>
          </cell>
          <cell r="K26" t="str">
            <v>ELE</v>
          </cell>
          <cell r="L26">
            <v>1.1973051335397501E-3</v>
          </cell>
          <cell r="M26">
            <v>-1.7583848909150102E-2</v>
          </cell>
          <cell r="N26">
            <v>-6.9605568445475496E-3</v>
          </cell>
          <cell r="O26">
            <v>2.3364485981308469E-2</v>
          </cell>
          <cell r="P26">
            <v>1.6307893020222064E-3</v>
          </cell>
          <cell r="Q26">
            <v>5.5356561380657254E-3</v>
          </cell>
        </row>
        <row r="27">
          <cell r="A27" t="str">
            <v>ENG</v>
          </cell>
          <cell r="B27">
            <v>13.76</v>
          </cell>
          <cell r="C27">
            <v>13.64</v>
          </cell>
          <cell r="D27">
            <v>13.59</v>
          </cell>
          <cell r="E27">
            <v>13.88</v>
          </cell>
          <cell r="F27">
            <v>13.95</v>
          </cell>
          <cell r="G27">
            <v>13.89</v>
          </cell>
          <cell r="K27" t="str">
            <v>ENG</v>
          </cell>
          <cell r="L27">
            <v>1.9389506058974826E-3</v>
          </cell>
          <cell r="M27">
            <v>-8.720930232558044E-3</v>
          </cell>
          <cell r="N27">
            <v>-3.665689149560114E-3</v>
          </cell>
          <cell r="O27">
            <v>2.1339220014716664E-2</v>
          </cell>
          <cell r="P27">
            <v>5.0432276657059738E-3</v>
          </cell>
          <cell r="Q27">
            <v>-4.3010752688170673E-3</v>
          </cell>
        </row>
        <row r="28">
          <cell r="A28" t="str">
            <v>ETN</v>
          </cell>
          <cell r="B28">
            <v>327.24</v>
          </cell>
          <cell r="C28">
            <v>329.1</v>
          </cell>
          <cell r="D28">
            <v>332.38</v>
          </cell>
          <cell r="E28">
            <v>331.14</v>
          </cell>
          <cell r="F28">
            <v>333.46</v>
          </cell>
          <cell r="G28">
            <v>343.75</v>
          </cell>
          <cell r="K28" t="str">
            <v>ETN</v>
          </cell>
          <cell r="L28">
            <v>9.9568363023864841E-3</v>
          </cell>
          <cell r="M28">
            <v>5.6839017235057465E-3</v>
          </cell>
          <cell r="N28">
            <v>9.9665755089637376E-3</v>
          </cell>
          <cell r="O28">
            <v>-3.730669715386048E-3</v>
          </cell>
          <cell r="P28">
            <v>7.0061001389141175E-3</v>
          </cell>
          <cell r="Q28">
            <v>3.085827385593487E-2</v>
          </cell>
        </row>
        <row r="29">
          <cell r="A29" t="str">
            <v>FER</v>
          </cell>
          <cell r="B29">
            <v>57.46</v>
          </cell>
          <cell r="C29">
            <v>57.3</v>
          </cell>
          <cell r="D29">
            <v>57.94</v>
          </cell>
          <cell r="E29">
            <v>57.82</v>
          </cell>
          <cell r="F29">
            <v>58.34</v>
          </cell>
          <cell r="G29">
            <v>58.56</v>
          </cell>
          <cell r="K29" t="str">
            <v>FER</v>
          </cell>
          <cell r="L29">
            <v>3.8156112267680787E-3</v>
          </cell>
          <cell r="M29">
            <v>-2.7845457709712029E-3</v>
          </cell>
          <cell r="N29">
            <v>1.1169284467713814E-2</v>
          </cell>
          <cell r="O29">
            <v>-2.0711080428028605E-3</v>
          </cell>
          <cell r="P29">
            <v>8.9934278796264255E-3</v>
          </cell>
          <cell r="Q29">
            <v>3.7709976002742174E-3</v>
          </cell>
        </row>
        <row r="30">
          <cell r="A30" t="str">
            <v>GD</v>
          </cell>
          <cell r="B30">
            <v>357.93</v>
          </cell>
          <cell r="C30">
            <v>360.94</v>
          </cell>
          <cell r="D30">
            <v>363.3</v>
          </cell>
          <cell r="E30">
            <v>366</v>
          </cell>
          <cell r="F30">
            <v>368.69</v>
          </cell>
          <cell r="G30">
            <v>367.38</v>
          </cell>
          <cell r="K30" t="str">
            <v>GD</v>
          </cell>
          <cell r="L30">
            <v>5.2352858280799493E-3</v>
          </cell>
          <cell r="M30">
            <v>8.4094655379542971E-3</v>
          </cell>
          <cell r="N30">
            <v>6.5384828503352033E-3</v>
          </cell>
          <cell r="O30">
            <v>7.4318744838974826E-3</v>
          </cell>
          <cell r="P30">
            <v>7.3497267759563556E-3</v>
          </cell>
          <cell r="Q30">
            <v>-3.5531205077435901E-3</v>
          </cell>
        </row>
        <row r="31">
          <cell r="A31" t="str">
            <v>GOOGL</v>
          </cell>
          <cell r="B31">
            <v>330.29</v>
          </cell>
          <cell r="C31">
            <v>332.73</v>
          </cell>
          <cell r="D31">
            <v>336.43</v>
          </cell>
          <cell r="E31">
            <v>336.31</v>
          </cell>
          <cell r="F31">
            <v>333.16</v>
          </cell>
          <cell r="G31">
            <v>330.34</v>
          </cell>
          <cell r="K31" t="str">
            <v>GOOGL</v>
          </cell>
          <cell r="L31">
            <v>6.4025706755210804E-5</v>
          </cell>
          <cell r="M31">
            <v>7.3874473947137531E-3</v>
          </cell>
          <cell r="N31">
            <v>1.1120127430649385E-2</v>
          </cell>
          <cell r="O31">
            <v>-3.5668638349728443E-4</v>
          </cell>
          <cell r="P31">
            <v>-9.3663584193154348E-3</v>
          </cell>
          <cell r="Q31">
            <v>-8.4644014887743646E-3</v>
          </cell>
        </row>
        <row r="32">
          <cell r="A32" t="str">
            <v>GRE</v>
          </cell>
          <cell r="B32">
            <v>84.1</v>
          </cell>
          <cell r="C32">
            <v>89.2</v>
          </cell>
          <cell r="D32">
            <v>91.6</v>
          </cell>
          <cell r="E32">
            <v>91.1</v>
          </cell>
          <cell r="F32">
            <v>90.2</v>
          </cell>
          <cell r="G32">
            <v>91.5</v>
          </cell>
          <cell r="K32" t="str">
            <v>GRE</v>
          </cell>
          <cell r="L32">
            <v>1.7324514068646567E-2</v>
          </cell>
          <cell r="M32">
            <v>6.0642092746730158E-2</v>
          </cell>
          <cell r="N32">
            <v>2.6905829596412412E-2</v>
          </cell>
          <cell r="O32">
            <v>-5.4585152838427797E-3</v>
          </cell>
          <cell r="P32">
            <v>-9.8792535675081838E-3</v>
          </cell>
          <cell r="Q32">
            <v>1.4412416851441234E-2</v>
          </cell>
        </row>
        <row r="33">
          <cell r="A33" t="str">
            <v>HAG</v>
          </cell>
          <cell r="B33">
            <v>91.75</v>
          </cell>
          <cell r="C33">
            <v>92.3</v>
          </cell>
          <cell r="D33">
            <v>91.5</v>
          </cell>
          <cell r="E33">
            <v>89</v>
          </cell>
          <cell r="F33">
            <v>89.15</v>
          </cell>
          <cell r="G33">
            <v>92.6</v>
          </cell>
          <cell r="K33" t="str">
            <v>HAG</v>
          </cell>
          <cell r="L33">
            <v>2.0777945112482542E-3</v>
          </cell>
          <cell r="M33">
            <v>5.9945504087193235E-3</v>
          </cell>
          <cell r="N33">
            <v>-8.6673889490790357E-3</v>
          </cell>
          <cell r="O33">
            <v>-2.732240437158473E-2</v>
          </cell>
          <cell r="P33">
            <v>1.6853932584270925E-3</v>
          </cell>
          <cell r="Q33">
            <v>3.8698822209758621E-2</v>
          </cell>
        </row>
        <row r="34">
          <cell r="A34" t="str">
            <v>HII</v>
          </cell>
          <cell r="B34">
            <v>392</v>
          </cell>
          <cell r="C34">
            <v>398.25</v>
          </cell>
          <cell r="D34">
            <v>411.66</v>
          </cell>
          <cell r="E34">
            <v>415.39</v>
          </cell>
          <cell r="F34">
            <v>418.86</v>
          </cell>
          <cell r="G34">
            <v>425.9</v>
          </cell>
          <cell r="K34" t="str">
            <v>HII</v>
          </cell>
          <cell r="L34">
            <v>1.6767638003747011E-2</v>
          </cell>
          <cell r="M34">
            <v>1.5943877551020336E-2</v>
          </cell>
          <cell r="N34">
            <v>3.3672316384180778E-2</v>
          </cell>
          <cell r="O34">
            <v>9.0608754797647517E-3</v>
          </cell>
          <cell r="P34">
            <v>8.3535954163558301E-3</v>
          </cell>
          <cell r="Q34">
            <v>1.6807525187413352E-2</v>
          </cell>
        </row>
        <row r="35">
          <cell r="A35" t="str">
            <v>HOME</v>
          </cell>
          <cell r="B35">
            <v>19.5</v>
          </cell>
          <cell r="C35">
            <v>19.239999999999998</v>
          </cell>
          <cell r="D35">
            <v>19</v>
          </cell>
          <cell r="E35">
            <v>19.14</v>
          </cell>
          <cell r="F35">
            <v>19.12</v>
          </cell>
          <cell r="G35">
            <v>19.36</v>
          </cell>
          <cell r="K35" t="str">
            <v>HOME</v>
          </cell>
          <cell r="L35">
            <v>-1.3863111157797815E-3</v>
          </cell>
          <cell r="M35">
            <v>-1.3333333333333419E-2</v>
          </cell>
          <cell r="N35">
            <v>-1.2474012474012364E-2</v>
          </cell>
          <cell r="O35">
            <v>7.3684210526316907E-3</v>
          </cell>
          <cell r="P35">
            <v>-1.0449320794148065E-3</v>
          </cell>
          <cell r="Q35">
            <v>1.2552301255229992E-2</v>
          </cell>
        </row>
        <row r="36">
          <cell r="A36" t="str">
            <v>HON</v>
          </cell>
          <cell r="B36">
            <v>207.86</v>
          </cell>
          <cell r="C36">
            <v>208.6</v>
          </cell>
          <cell r="D36">
            <v>210.28</v>
          </cell>
          <cell r="E36">
            <v>213.04</v>
          </cell>
          <cell r="F36">
            <v>215.02</v>
          </cell>
          <cell r="G36">
            <v>219.39</v>
          </cell>
          <cell r="K36" t="str">
            <v>HON</v>
          </cell>
          <cell r="L36">
            <v>1.0871371314664247E-2</v>
          </cell>
          <cell r="M36">
            <v>3.5600885211199973E-3</v>
          </cell>
          <cell r="N36">
            <v>8.0536912751678624E-3</v>
          </cell>
          <cell r="O36">
            <v>1.3125356667300636E-2</v>
          </cell>
          <cell r="P36">
            <v>9.2940292902741195E-3</v>
          </cell>
          <cell r="Q36">
            <v>2.0323690819458617E-2</v>
          </cell>
        </row>
        <row r="37">
          <cell r="A37" t="str">
            <v>IAG</v>
          </cell>
          <cell r="B37">
            <v>4.75</v>
          </cell>
          <cell r="C37">
            <v>4.75</v>
          </cell>
          <cell r="D37">
            <v>4.71</v>
          </cell>
          <cell r="E37">
            <v>4.6900000000000004</v>
          </cell>
          <cell r="F37">
            <v>4.74</v>
          </cell>
          <cell r="G37">
            <v>4.74</v>
          </cell>
          <cell r="K37" t="str">
            <v>IAG</v>
          </cell>
          <cell r="L37">
            <v>-4.0127126448119554E-4</v>
          </cell>
          <cell r="M37">
            <v>0</v>
          </cell>
          <cell r="N37">
            <v>-8.4210526315789958E-3</v>
          </cell>
          <cell r="O37">
            <v>-4.2462845010614592E-3</v>
          </cell>
          <cell r="P37">
            <v>1.0660980810234477E-2</v>
          </cell>
          <cell r="Q37">
            <v>0</v>
          </cell>
        </row>
        <row r="38">
          <cell r="A38" t="str">
            <v>IBC</v>
          </cell>
          <cell r="B38">
            <v>17664.2</v>
          </cell>
          <cell r="C38">
            <v>17658.599999999999</v>
          </cell>
          <cell r="D38">
            <v>17687.099999999999</v>
          </cell>
          <cell r="E38">
            <v>17700</v>
          </cell>
          <cell r="F38">
            <v>17642.7</v>
          </cell>
          <cell r="G38">
            <v>17710.900000000001</v>
          </cell>
          <cell r="K38" t="str">
            <v>IBC</v>
          </cell>
          <cell r="L38">
            <v>5.3091950796420036E-4</v>
          </cell>
          <cell r="M38">
            <v>-3.1702539599876012E-4</v>
          </cell>
          <cell r="N38">
            <v>1.6139444803098257E-3</v>
          </cell>
          <cell r="O38">
            <v>7.293451159320341E-4</v>
          </cell>
          <cell r="P38">
            <v>-3.2372881355932082E-3</v>
          </cell>
          <cell r="Q38">
            <v>3.8656214751711104E-3</v>
          </cell>
        </row>
        <row r="39">
          <cell r="A39" t="str">
            <v>IBE</v>
          </cell>
          <cell r="B39">
            <v>18.47</v>
          </cell>
          <cell r="C39">
            <v>18.3</v>
          </cell>
          <cell r="D39">
            <v>18.25</v>
          </cell>
          <cell r="E39">
            <v>18.38</v>
          </cell>
          <cell r="F39">
            <v>18.29</v>
          </cell>
          <cell r="G39">
            <v>18.57</v>
          </cell>
          <cell r="K39" t="str">
            <v>IBE</v>
          </cell>
          <cell r="L39">
            <v>1.1198435317757659E-3</v>
          </cell>
          <cell r="M39">
            <v>-9.2041147807253587E-3</v>
          </cell>
          <cell r="N39">
            <v>-2.732240437158473E-3</v>
          </cell>
          <cell r="O39">
            <v>7.1232876712328252E-3</v>
          </cell>
          <cell r="P39">
            <v>-4.8966267682263309E-3</v>
          </cell>
          <cell r="Q39">
            <v>1.5308911973756167E-2</v>
          </cell>
        </row>
        <row r="40">
          <cell r="A40" t="str">
            <v>IDR</v>
          </cell>
          <cell r="B40">
            <v>59.15</v>
          </cell>
          <cell r="C40">
            <v>58</v>
          </cell>
          <cell r="D40">
            <v>57.95</v>
          </cell>
          <cell r="E40">
            <v>57.45</v>
          </cell>
          <cell r="F40">
            <v>57.85</v>
          </cell>
          <cell r="G40">
            <v>58.25</v>
          </cell>
          <cell r="K40" t="str">
            <v>IDR</v>
          </cell>
          <cell r="L40">
            <v>-3.0110565986155358E-3</v>
          </cell>
          <cell r="M40">
            <v>-1.9442096365173245E-2</v>
          </cell>
          <cell r="N40">
            <v>-8.6206896551721535E-4</v>
          </cell>
          <cell r="O40">
            <v>-8.6281276962899556E-3</v>
          </cell>
          <cell r="P40">
            <v>6.9625761531766361E-3</v>
          </cell>
          <cell r="Q40">
            <v>6.9144338807261008E-3</v>
          </cell>
        </row>
        <row r="41">
          <cell r="A41" t="str">
            <v>LDA</v>
          </cell>
          <cell r="B41">
            <v>1.1200000000000001</v>
          </cell>
          <cell r="C41">
            <v>1.1200000000000001</v>
          </cell>
          <cell r="D41">
            <v>1.1100000000000001</v>
          </cell>
          <cell r="E41">
            <v>1.1200000000000001</v>
          </cell>
          <cell r="F41">
            <v>1.1299999999999999</v>
          </cell>
          <cell r="G41">
            <v>1.1299999999999999</v>
          </cell>
          <cell r="K41" t="str">
            <v>LDA</v>
          </cell>
          <cell r="L41">
            <v>1.8018018018017389E-3</v>
          </cell>
          <cell r="M41">
            <v>0</v>
          </cell>
          <cell r="N41">
            <v>-8.9285714285713969E-3</v>
          </cell>
          <cell r="O41">
            <v>9.009009009008917E-3</v>
          </cell>
          <cell r="P41">
            <v>8.9285714285711748E-3</v>
          </cell>
          <cell r="Q41">
            <v>0</v>
          </cell>
        </row>
        <row r="42">
          <cell r="A42" t="str">
            <v>LDO</v>
          </cell>
          <cell r="B42">
            <v>59.4</v>
          </cell>
          <cell r="C42">
            <v>58.58</v>
          </cell>
          <cell r="D42">
            <v>58.84</v>
          </cell>
          <cell r="E42">
            <v>57.88</v>
          </cell>
          <cell r="F42">
            <v>58.1</v>
          </cell>
          <cell r="G42">
            <v>58.88</v>
          </cell>
          <cell r="K42" t="str">
            <v>LDO</v>
          </cell>
          <cell r="L42">
            <v>-1.6911348010178128E-3</v>
          </cell>
          <cell r="M42">
            <v>-1.380471380471382E-2</v>
          </cell>
          <cell r="N42">
            <v>4.4383748719700744E-3</v>
          </cell>
          <cell r="O42">
            <v>-1.6315431679129855E-2</v>
          </cell>
          <cell r="P42">
            <v>3.8009675190047165E-3</v>
          </cell>
          <cell r="Q42">
            <v>1.3425129087779819E-2</v>
          </cell>
        </row>
        <row r="43">
          <cell r="A43" t="str">
            <v>LHX</v>
          </cell>
          <cell r="B43">
            <v>339.09</v>
          </cell>
          <cell r="C43">
            <v>340.68</v>
          </cell>
          <cell r="D43">
            <v>341.24</v>
          </cell>
          <cell r="E43">
            <v>342.85</v>
          </cell>
          <cell r="F43">
            <v>340.42</v>
          </cell>
          <cell r="G43">
            <v>346.46</v>
          </cell>
          <cell r="K43" t="str">
            <v>LHX</v>
          </cell>
          <cell r="L43">
            <v>4.3412039065711117E-3</v>
          </cell>
          <cell r="M43">
            <v>4.689020613996453E-3</v>
          </cell>
          <cell r="N43">
            <v>1.6437712809673766E-3</v>
          </cell>
          <cell r="O43">
            <v>4.7180869769078981E-3</v>
          </cell>
          <cell r="P43">
            <v>-7.087647659326235E-3</v>
          </cell>
          <cell r="Q43">
            <v>1.7742788320310066E-2</v>
          </cell>
        </row>
        <row r="44">
          <cell r="A44" t="str">
            <v>LINDEINDIA</v>
          </cell>
          <cell r="B44">
            <v>6121.95</v>
          </cell>
          <cell r="C44">
            <v>6082.7</v>
          </cell>
          <cell r="D44">
            <v>6082.7</v>
          </cell>
          <cell r="E44">
            <v>6071</v>
          </cell>
          <cell r="F44">
            <v>6071</v>
          </cell>
          <cell r="G44">
            <v>6105.05</v>
          </cell>
          <cell r="K44" t="str">
            <v>LINDEINDIA</v>
          </cell>
          <cell r="L44">
            <v>-5.4524251722194435E-4</v>
          </cell>
          <cell r="M44">
            <v>-6.4113558588357877E-3</v>
          </cell>
          <cell r="N44">
            <v>0</v>
          </cell>
          <cell r="O44">
            <v>-1.9234879247702619E-3</v>
          </cell>
          <cell r="P44">
            <v>0</v>
          </cell>
          <cell r="Q44">
            <v>5.6086311974963277E-3</v>
          </cell>
        </row>
        <row r="45">
          <cell r="A45" t="str">
            <v>LLY</v>
          </cell>
          <cell r="B45">
            <v>1070.68</v>
          </cell>
          <cell r="C45">
            <v>1081</v>
          </cell>
          <cell r="D45">
            <v>1077.19</v>
          </cell>
          <cell r="E45">
            <v>1073.29</v>
          </cell>
          <cell r="F45">
            <v>1032.97</v>
          </cell>
          <cell r="G45">
            <v>1038.4000000000001</v>
          </cell>
          <cell r="K45" t="str">
            <v>LLY</v>
          </cell>
          <cell r="L45">
            <v>-5.9632716610349855E-3</v>
          </cell>
          <cell r="M45">
            <v>9.6387342623378558E-3</v>
          </cell>
          <cell r="N45">
            <v>-3.5245143385753686E-3</v>
          </cell>
          <cell r="O45">
            <v>-3.6205311969105258E-3</v>
          </cell>
          <cell r="P45">
            <v>-3.7566734060691886E-2</v>
          </cell>
          <cell r="Q45">
            <v>5.2566870286649969E-3</v>
          </cell>
        </row>
        <row r="46">
          <cell r="A46" t="str">
            <v>LMT</v>
          </cell>
          <cell r="B46">
            <v>541.51</v>
          </cell>
          <cell r="C46">
            <v>551.24</v>
          </cell>
          <cell r="D46">
            <v>558.29999999999995</v>
          </cell>
          <cell r="E46">
            <v>572.70000000000005</v>
          </cell>
          <cell r="F46">
            <v>577.89</v>
          </cell>
          <cell r="G46">
            <v>582.42999999999995</v>
          </cell>
          <cell r="K46" t="str">
            <v>LMT</v>
          </cell>
          <cell r="L46">
            <v>1.4697369960815321E-2</v>
          </cell>
          <cell r="M46">
            <v>1.7968273900758946E-2</v>
          </cell>
          <cell r="N46">
            <v>1.2807488571221048E-2</v>
          </cell>
          <cell r="O46">
            <v>2.5792584631918469E-2</v>
          </cell>
          <cell r="P46">
            <v>9.0623363017285907E-3</v>
          </cell>
          <cell r="Q46">
            <v>7.8561663984495489E-3</v>
          </cell>
        </row>
        <row r="47">
          <cell r="A47" t="str">
            <v>MAP</v>
          </cell>
          <cell r="B47">
            <v>4.2300000000000004</v>
          </cell>
          <cell r="C47">
            <v>4.21</v>
          </cell>
          <cell r="D47">
            <v>4.16</v>
          </cell>
          <cell r="E47">
            <v>4.25</v>
          </cell>
          <cell r="F47">
            <v>4.24</v>
          </cell>
          <cell r="G47">
            <v>4.25</v>
          </cell>
          <cell r="K47" t="str">
            <v>MAP</v>
          </cell>
          <cell r="L47">
            <v>1.007109565181108E-3</v>
          </cell>
          <cell r="M47">
            <v>-4.7281323877069736E-3</v>
          </cell>
          <cell r="N47">
            <v>-1.187648456057E-2</v>
          </cell>
          <cell r="O47">
            <v>2.1634615384615419E-2</v>
          </cell>
          <cell r="P47">
            <v>-2.3529411764705577E-3</v>
          </cell>
          <cell r="Q47">
            <v>2.3584905660376521E-3</v>
          </cell>
        </row>
        <row r="48">
          <cell r="A48" t="str">
            <v>MEL</v>
          </cell>
          <cell r="B48">
            <v>7.97</v>
          </cell>
          <cell r="C48">
            <v>7.87</v>
          </cell>
          <cell r="D48">
            <v>7.91</v>
          </cell>
          <cell r="E48">
            <v>7.78</v>
          </cell>
          <cell r="F48">
            <v>7.73</v>
          </cell>
          <cell r="G48">
            <v>7.78</v>
          </cell>
          <cell r="K48" t="str">
            <v>MEL</v>
          </cell>
          <cell r="L48">
            <v>-4.7715563553029083E-3</v>
          </cell>
          <cell r="M48">
            <v>-1.2547051442910906E-2</v>
          </cell>
          <cell r="N48">
            <v>5.0825921219821435E-3</v>
          </cell>
          <cell r="O48">
            <v>-1.6434892541087209E-2</v>
          </cell>
          <cell r="P48">
            <v>-6.4267352185090054E-3</v>
          </cell>
          <cell r="Q48">
            <v>6.4683053040104355E-3</v>
          </cell>
        </row>
        <row r="49">
          <cell r="A49" t="str">
            <v>META</v>
          </cell>
          <cell r="B49">
            <v>647.6</v>
          </cell>
          <cell r="C49">
            <v>641.97</v>
          </cell>
          <cell r="D49">
            <v>631.09</v>
          </cell>
          <cell r="E49">
            <v>615.52</v>
          </cell>
          <cell r="F49">
            <v>620.79999999999995</v>
          </cell>
          <cell r="G49">
            <v>620.25</v>
          </cell>
          <cell r="K49" t="str">
            <v>META</v>
          </cell>
          <cell r="L49">
            <v>-8.5241822449508182E-3</v>
          </cell>
          <cell r="M49">
            <v>-8.6936380481779096E-3</v>
          </cell>
          <cell r="N49">
            <v>-1.6947832453229839E-2</v>
          </cell>
          <cell r="O49">
            <v>-2.4671599930279453E-2</v>
          </cell>
          <cell r="P49">
            <v>8.5781128151805053E-3</v>
          </cell>
          <cell r="Q49">
            <v>-8.8595360824739178E-4</v>
          </cell>
        </row>
        <row r="50">
          <cell r="A50" t="str">
            <v>MGT</v>
          </cell>
          <cell r="B50">
            <v>96.79</v>
          </cell>
          <cell r="C50">
            <v>96.79</v>
          </cell>
          <cell r="D50">
            <v>96.79</v>
          </cell>
          <cell r="E50">
            <v>96.48</v>
          </cell>
          <cell r="F50">
            <v>97.12</v>
          </cell>
          <cell r="G50">
            <v>96.02</v>
          </cell>
          <cell r="K50" t="str">
            <v>MGT</v>
          </cell>
          <cell r="L50">
            <v>-1.5791010871071265E-3</v>
          </cell>
          <cell r="M50">
            <v>0</v>
          </cell>
          <cell r="N50">
            <v>0</v>
          </cell>
          <cell r="O50">
            <v>-3.2028102076661069E-3</v>
          </cell>
          <cell r="P50">
            <v>6.6334991708125735E-3</v>
          </cell>
          <cell r="Q50">
            <v>-1.1326194398682099E-2</v>
          </cell>
        </row>
        <row r="51">
          <cell r="A51" t="str">
            <v>MRL</v>
          </cell>
          <cell r="B51">
            <v>12.62</v>
          </cell>
          <cell r="C51">
            <v>12.45</v>
          </cell>
          <cell r="D51">
            <v>12.41</v>
          </cell>
          <cell r="E51">
            <v>12.44</v>
          </cell>
          <cell r="F51">
            <v>12.39</v>
          </cell>
          <cell r="G51">
            <v>12.49</v>
          </cell>
          <cell r="K51" t="str">
            <v>MRL</v>
          </cell>
          <cell r="L51">
            <v>-2.0428790259315877E-3</v>
          </cell>
          <cell r="M51">
            <v>-1.347068145800312E-2</v>
          </cell>
          <cell r="N51">
            <v>-3.2128514056224411E-3</v>
          </cell>
          <cell r="O51">
            <v>2.4174053182917099E-3</v>
          </cell>
          <cell r="P51">
            <v>-4.019292604501512E-3</v>
          </cell>
          <cell r="Q51">
            <v>8.0710250201774247E-3</v>
          </cell>
        </row>
        <row r="52">
          <cell r="A52" t="str">
            <v>MSFT</v>
          </cell>
          <cell r="B52">
            <v>478.92</v>
          </cell>
          <cell r="C52">
            <v>477.18</v>
          </cell>
          <cell r="D52">
            <v>470.67</v>
          </cell>
          <cell r="E52">
            <v>459.38</v>
          </cell>
          <cell r="F52">
            <v>456.66</v>
          </cell>
          <cell r="G52">
            <v>459.86</v>
          </cell>
          <cell r="K52" t="str">
            <v>MSFT</v>
          </cell>
          <cell r="L52">
            <v>-8.0353059760932769E-3</v>
          </cell>
          <cell r="M52">
            <v>-3.6331746429466572E-3</v>
          </cell>
          <cell r="N52">
            <v>-1.3642650572111115E-2</v>
          </cell>
          <cell r="O52">
            <v>-2.3987082244460112E-2</v>
          </cell>
          <cell r="P52">
            <v>-5.9210239888545235E-3</v>
          </cell>
          <cell r="Q52">
            <v>7.0074015679060242E-3</v>
          </cell>
        </row>
        <row r="53">
          <cell r="A53" t="str">
            <v>MT</v>
          </cell>
          <cell r="B53">
            <v>48.08</v>
          </cell>
          <cell r="C53">
            <v>47.85</v>
          </cell>
          <cell r="D53">
            <v>48.08</v>
          </cell>
          <cell r="E53">
            <v>49.04</v>
          </cell>
          <cell r="F53">
            <v>48.41</v>
          </cell>
          <cell r="G53">
            <v>48.73</v>
          </cell>
          <cell r="K53" t="str">
            <v>MT</v>
          </cell>
          <cell r="L53">
            <v>2.7506529127017789E-3</v>
          </cell>
          <cell r="M53">
            <v>-4.7836938435938947E-3</v>
          </cell>
          <cell r="N53">
            <v>4.8066875653081098E-3</v>
          </cell>
          <cell r="O53">
            <v>1.9966722129783676E-2</v>
          </cell>
          <cell r="P53">
            <v>-1.2846655791190931E-2</v>
          </cell>
          <cell r="Q53">
            <v>6.610204503201933E-3</v>
          </cell>
        </row>
        <row r="54">
          <cell r="A54" t="str">
            <v>MTX</v>
          </cell>
          <cell r="B54">
            <v>384</v>
          </cell>
          <cell r="C54">
            <v>381.3</v>
          </cell>
          <cell r="D54">
            <v>386.7</v>
          </cell>
          <cell r="E54">
            <v>384.9</v>
          </cell>
          <cell r="F54">
            <v>384.3</v>
          </cell>
          <cell r="G54">
            <v>386.2</v>
          </cell>
          <cell r="K54" t="str">
            <v>MTX</v>
          </cell>
          <cell r="L54">
            <v>1.1722527269961481E-3</v>
          </cell>
          <cell r="M54">
            <v>-7.0312499999999334E-3</v>
          </cell>
          <cell r="N54">
            <v>1.4162077104642012E-2</v>
          </cell>
          <cell r="O54">
            <v>-4.6547711404190117E-3</v>
          </cell>
          <cell r="P54">
            <v>-1.5588464536242519E-3</v>
          </cell>
          <cell r="Q54">
            <v>4.9440541243819247E-3</v>
          </cell>
        </row>
        <row r="55">
          <cell r="A55" t="str">
            <v>NOC</v>
          </cell>
          <cell r="B55">
            <v>630.1</v>
          </cell>
          <cell r="C55">
            <v>629.32000000000005</v>
          </cell>
          <cell r="D55">
            <v>625.5</v>
          </cell>
          <cell r="E55">
            <v>653.14</v>
          </cell>
          <cell r="F55">
            <v>654.61</v>
          </cell>
          <cell r="G55">
            <v>666.9</v>
          </cell>
          <cell r="K55" t="str">
            <v>NOC</v>
          </cell>
          <cell r="L55">
            <v>1.158118200038798E-2</v>
          </cell>
          <cell r="M55">
            <v>-1.2378987462307034E-3</v>
          </cell>
          <cell r="N55">
            <v>-6.0700438568614956E-3</v>
          </cell>
          <cell r="O55">
            <v>4.4188649080735498E-2</v>
          </cell>
          <cell r="P55">
            <v>2.2506660134122836E-3</v>
          </cell>
          <cell r="Q55">
            <v>1.8774537510884315E-2</v>
          </cell>
        </row>
        <row r="56">
          <cell r="A56" t="str">
            <v>NOW</v>
          </cell>
          <cell r="B56">
            <v>142.96</v>
          </cell>
          <cell r="C56">
            <v>142.63999999999999</v>
          </cell>
          <cell r="D56">
            <v>138.19</v>
          </cell>
          <cell r="E56">
            <v>134.61000000000001</v>
          </cell>
          <cell r="F56">
            <v>131.16999999999999</v>
          </cell>
          <cell r="G56">
            <v>127.31</v>
          </cell>
          <cell r="K56" t="str">
            <v>NOW</v>
          </cell>
          <cell r="L56">
            <v>-2.2864987544093541E-2</v>
          </cell>
          <cell r="M56">
            <v>-2.2383883603807053E-3</v>
          </cell>
          <cell r="N56">
            <v>-3.1197420078519222E-2</v>
          </cell>
          <cell r="O56">
            <v>-2.5906360807583684E-2</v>
          </cell>
          <cell r="P56">
            <v>-2.5555307926602988E-2</v>
          </cell>
          <cell r="Q56">
            <v>-2.9427460547381101E-2</v>
          </cell>
        </row>
        <row r="57">
          <cell r="A57" t="str">
            <v>NTGY</v>
          </cell>
          <cell r="B57">
            <v>25.4</v>
          </cell>
          <cell r="C57">
            <v>25.18</v>
          </cell>
          <cell r="D57">
            <v>25.36</v>
          </cell>
          <cell r="E57">
            <v>26</v>
          </cell>
          <cell r="F57">
            <v>26.04</v>
          </cell>
          <cell r="G57">
            <v>25.7</v>
          </cell>
          <cell r="K57" t="str">
            <v>NTGY</v>
          </cell>
          <cell r="L57">
            <v>2.4410664435816631E-3</v>
          </cell>
          <cell r="M57">
            <v>-8.6614173228346525E-3</v>
          </cell>
          <cell r="N57">
            <v>7.1485305798253407E-3</v>
          </cell>
          <cell r="O57">
            <v>2.5236593059936974E-2</v>
          </cell>
          <cell r="P57">
            <v>1.5384615384614886E-3</v>
          </cell>
          <cell r="Q57">
            <v>-1.3056835637480835E-2</v>
          </cell>
        </row>
        <row r="58">
          <cell r="A58" t="str">
            <v>NVDA</v>
          </cell>
          <cell r="B58">
            <v>185.04</v>
          </cell>
          <cell r="C58">
            <v>184.94</v>
          </cell>
          <cell r="D58">
            <v>185.81</v>
          </cell>
          <cell r="E58">
            <v>183.14</v>
          </cell>
          <cell r="F58">
            <v>187.05</v>
          </cell>
          <cell r="G58">
            <v>186.23</v>
          </cell>
          <cell r="K58" t="str">
            <v>NVDA</v>
          </cell>
          <cell r="L58">
            <v>1.3520439842492848E-3</v>
          </cell>
          <cell r="M58">
            <v>-5.4042369217466302E-4</v>
          </cell>
          <cell r="N58">
            <v>4.7042283983995681E-3</v>
          </cell>
          <cell r="O58">
            <v>-1.4369517248802643E-2</v>
          </cell>
          <cell r="P58">
            <v>2.134978704816004E-2</v>
          </cell>
          <cell r="Q58">
            <v>-4.3838545843358778E-3</v>
          </cell>
        </row>
        <row r="59">
          <cell r="A59" t="str">
            <v>NVGS</v>
          </cell>
          <cell r="B59">
            <v>18.079999999999998</v>
          </cell>
          <cell r="C59">
            <v>18.16</v>
          </cell>
          <cell r="D59">
            <v>18.52</v>
          </cell>
          <cell r="E59">
            <v>18.329999999999998</v>
          </cell>
          <cell r="F59">
            <v>18.260000000000002</v>
          </cell>
          <cell r="G59">
            <v>18</v>
          </cell>
          <cell r="K59" t="str">
            <v>NVGS</v>
          </cell>
          <cell r="L59">
            <v>-8.136522785121336E-4</v>
          </cell>
          <cell r="M59">
            <v>4.4247787610620648E-3</v>
          </cell>
          <cell r="N59">
            <v>1.982378854625555E-2</v>
          </cell>
          <cell r="O59">
            <v>-1.025917926565878E-2</v>
          </cell>
          <cell r="P59">
            <v>-3.818876159301543E-3</v>
          </cell>
          <cell r="Q59">
            <v>-1.423877327491796E-2</v>
          </cell>
        </row>
        <row r="60">
          <cell r="A60" t="str">
            <v>OHLA</v>
          </cell>
          <cell r="B60">
            <v>0.37</v>
          </cell>
          <cell r="C60">
            <v>0.36</v>
          </cell>
          <cell r="D60">
            <v>0.36</v>
          </cell>
          <cell r="E60">
            <v>0.37</v>
          </cell>
          <cell r="F60">
            <v>0.37</v>
          </cell>
          <cell r="G60">
            <v>0.36</v>
          </cell>
          <cell r="K60" t="str">
            <v>OHLA</v>
          </cell>
          <cell r="L60">
            <v>-5.255255255255253E-3</v>
          </cell>
          <cell r="M60">
            <v>-2.7027027027027084E-2</v>
          </cell>
          <cell r="N60">
            <v>0</v>
          </cell>
          <cell r="O60">
            <v>2.7777777777777901E-2</v>
          </cell>
          <cell r="P60">
            <v>0</v>
          </cell>
          <cell r="Q60">
            <v>-2.7027027027027084E-2</v>
          </cell>
        </row>
        <row r="61">
          <cell r="A61" t="str">
            <v>PG</v>
          </cell>
          <cell r="B61">
            <v>143.66999999999999</v>
          </cell>
          <cell r="C61">
            <v>143.46</v>
          </cell>
          <cell r="D61">
            <v>144.24</v>
          </cell>
          <cell r="E61">
            <v>146.35</v>
          </cell>
          <cell r="F61">
            <v>144.63</v>
          </cell>
          <cell r="G61">
            <v>144.53</v>
          </cell>
          <cell r="K61" t="str">
            <v>PG</v>
          </cell>
          <cell r="L61">
            <v>1.2319404942337409E-3</v>
          </cell>
          <cell r="M61">
            <v>-1.4616830235956169E-3</v>
          </cell>
          <cell r="N61">
            <v>5.4370556252614222E-3</v>
          </cell>
          <cell r="O61">
            <v>1.4628397115917791E-2</v>
          </cell>
          <cell r="P61">
            <v>-1.1752647762213853E-2</v>
          </cell>
          <cell r="Q61">
            <v>-6.9141948420103905E-4</v>
          </cell>
        </row>
        <row r="62">
          <cell r="A62" t="str">
            <v>PLTR</v>
          </cell>
          <cell r="B62">
            <v>178.26</v>
          </cell>
          <cell r="C62">
            <v>179.41</v>
          </cell>
          <cell r="D62">
            <v>178.96</v>
          </cell>
          <cell r="E62">
            <v>178.4</v>
          </cell>
          <cell r="F62">
            <v>177.07</v>
          </cell>
          <cell r="G62">
            <v>170.96</v>
          </cell>
          <cell r="K62" t="str">
            <v>PLTR</v>
          </cell>
          <cell r="L62">
            <v>-8.2294891524271156E-3</v>
          </cell>
          <cell r="M62">
            <v>6.4512509817120645E-3</v>
          </cell>
          <cell r="N62">
            <v>-2.5082213923415253E-3</v>
          </cell>
          <cell r="O62">
            <v>-3.129190880643784E-3</v>
          </cell>
          <cell r="P62">
            <v>-7.45515695067267E-3</v>
          </cell>
          <cell r="Q62">
            <v>-3.4506127520189667E-2</v>
          </cell>
        </row>
        <row r="63">
          <cell r="A63" t="str">
            <v>PYPL</v>
          </cell>
          <cell r="B63">
            <v>57.42</v>
          </cell>
          <cell r="C63">
            <v>57.29</v>
          </cell>
          <cell r="D63">
            <v>56.56</v>
          </cell>
          <cell r="E63">
            <v>57.66</v>
          </cell>
          <cell r="F63">
            <v>56.74</v>
          </cell>
          <cell r="G63">
            <v>56.89</v>
          </cell>
          <cell r="K63" t="str">
            <v>PYPL</v>
          </cell>
          <cell r="L63">
            <v>-1.77395982371642E-3</v>
          </cell>
          <cell r="M63">
            <v>-2.2640195053988954E-3</v>
          </cell>
          <cell r="N63">
            <v>-1.2742188863675952E-2</v>
          </cell>
          <cell r="O63">
            <v>1.944837340876937E-2</v>
          </cell>
          <cell r="P63">
            <v>-1.5955601803676611E-2</v>
          </cell>
          <cell r="Q63">
            <v>2.6436376453999877E-3</v>
          </cell>
        </row>
        <row r="64">
          <cell r="A64" t="str">
            <v>REP</v>
          </cell>
          <cell r="B64">
            <v>16.2</v>
          </cell>
          <cell r="C64">
            <v>16.11</v>
          </cell>
          <cell r="D64">
            <v>16.23</v>
          </cell>
          <cell r="E64">
            <v>15.65</v>
          </cell>
          <cell r="F64">
            <v>15.7</v>
          </cell>
          <cell r="G64">
            <v>15.7</v>
          </cell>
          <cell r="K64" t="str">
            <v>REP</v>
          </cell>
          <cell r="L64">
            <v>-6.1296337248834872E-3</v>
          </cell>
          <cell r="M64">
            <v>-5.5555555555555358E-3</v>
          </cell>
          <cell r="N64">
            <v>7.4487895716945918E-3</v>
          </cell>
          <cell r="O64">
            <v>-3.5736290819470162E-2</v>
          </cell>
          <cell r="P64">
            <v>3.1948881789136685E-3</v>
          </cell>
          <cell r="Q64">
            <v>0</v>
          </cell>
        </row>
        <row r="65">
          <cell r="A65" t="str">
            <v>ROVI</v>
          </cell>
          <cell r="B65">
            <v>69.150000000000006</v>
          </cell>
          <cell r="C65">
            <v>68.400000000000006</v>
          </cell>
          <cell r="D65">
            <v>69.05</v>
          </cell>
          <cell r="E65">
            <v>69.5</v>
          </cell>
          <cell r="F65">
            <v>70.05</v>
          </cell>
          <cell r="G65">
            <v>72.2</v>
          </cell>
          <cell r="K65" t="str">
            <v>ROVI</v>
          </cell>
          <cell r="L65">
            <v>8.7559970618566133E-3</v>
          </cell>
          <cell r="M65">
            <v>-1.0845986984815648E-2</v>
          </cell>
          <cell r="N65">
            <v>9.5029239766080131E-3</v>
          </cell>
          <cell r="O65">
            <v>6.5170166545982511E-3</v>
          </cell>
          <cell r="P65">
            <v>7.9136690647481078E-3</v>
          </cell>
          <cell r="Q65">
            <v>3.069236259814434E-2</v>
          </cell>
        </row>
        <row r="66">
          <cell r="A66" t="str">
            <v>RR.</v>
          </cell>
          <cell r="B66">
            <v>1295.5</v>
          </cell>
          <cell r="C66">
            <v>1297.32</v>
          </cell>
          <cell r="D66">
            <v>1305</v>
          </cell>
          <cell r="E66">
            <v>1271.5</v>
          </cell>
          <cell r="F66">
            <v>1273</v>
          </cell>
          <cell r="G66">
            <v>1285.5</v>
          </cell>
          <cell r="K66" t="str">
            <v>RR.</v>
          </cell>
          <cell r="L66">
            <v>-1.4693410519246886E-3</v>
          </cell>
          <cell r="M66">
            <v>1.4048629872636109E-3</v>
          </cell>
          <cell r="N66">
            <v>5.9198964018130074E-3</v>
          </cell>
          <cell r="O66">
            <v>-2.5670498084291227E-2</v>
          </cell>
          <cell r="P66">
            <v>1.1797090051119952E-3</v>
          </cell>
          <cell r="Q66">
            <v>9.8193244304791705E-3</v>
          </cell>
        </row>
        <row r="67">
          <cell r="A67" t="str">
            <v>RTX</v>
          </cell>
          <cell r="B67">
            <v>190.88</v>
          </cell>
          <cell r="C67">
            <v>193.85</v>
          </cell>
          <cell r="D67">
            <v>194.08</v>
          </cell>
          <cell r="E67">
            <v>198.84</v>
          </cell>
          <cell r="F67">
            <v>199.83</v>
          </cell>
          <cell r="G67">
            <v>201.92</v>
          </cell>
          <cell r="K67" t="str">
            <v>RTX</v>
          </cell>
          <cell r="L67">
            <v>1.1341946888905774E-2</v>
          </cell>
          <cell r="M67">
            <v>1.5559513830678995E-2</v>
          </cell>
          <cell r="N67">
            <v>1.1864843951510107E-3</v>
          </cell>
          <cell r="O67">
            <v>2.4525968672712173E-2</v>
          </cell>
          <cell r="P67">
            <v>4.9788774894388155E-3</v>
          </cell>
          <cell r="Q67">
            <v>1.0458890056547876E-2</v>
          </cell>
        </row>
        <row r="68">
          <cell r="A68" t="str">
            <v>SAAB_B</v>
          </cell>
          <cell r="B68">
            <v>695.8</v>
          </cell>
          <cell r="C68">
            <v>698.5</v>
          </cell>
          <cell r="D68">
            <v>704.1</v>
          </cell>
          <cell r="E68">
            <v>693.8</v>
          </cell>
          <cell r="F68">
            <v>695.6</v>
          </cell>
          <cell r="G68">
            <v>707.8</v>
          </cell>
          <cell r="K68" t="str">
            <v>SAAB_B</v>
          </cell>
          <cell r="L68">
            <v>3.4804448420497681E-3</v>
          </cell>
          <cell r="M68">
            <v>3.8804254096005408E-3</v>
          </cell>
          <cell r="N68">
            <v>8.017179670722907E-3</v>
          </cell>
          <cell r="O68">
            <v>-1.4628603891492786E-2</v>
          </cell>
          <cell r="P68">
            <v>2.594407610262417E-3</v>
          </cell>
          <cell r="Q68">
            <v>1.7538815411155761E-2</v>
          </cell>
        </row>
        <row r="69">
          <cell r="A69" t="str">
            <v>SAB</v>
          </cell>
          <cell r="B69">
            <v>3.33</v>
          </cell>
          <cell r="C69">
            <v>3.35</v>
          </cell>
          <cell r="D69">
            <v>3.33</v>
          </cell>
          <cell r="E69">
            <v>3.29</v>
          </cell>
          <cell r="F69">
            <v>3.25</v>
          </cell>
          <cell r="G69">
            <v>3.24</v>
          </cell>
          <cell r="K69" t="str">
            <v>SAB</v>
          </cell>
          <cell r="L69">
            <v>-5.4422266095812914E-3</v>
          </cell>
          <cell r="M69">
            <v>6.0060060060060927E-3</v>
          </cell>
          <cell r="N69">
            <v>-5.9701492537312939E-3</v>
          </cell>
          <cell r="O69">
            <v>-1.2012012012012074E-2</v>
          </cell>
          <cell r="P69">
            <v>-1.2158054711246202E-2</v>
          </cell>
          <cell r="Q69">
            <v>-3.0769230769229772E-3</v>
          </cell>
        </row>
        <row r="70">
          <cell r="A70" t="str">
            <v>SAN</v>
          </cell>
          <cell r="B70">
            <v>10.31</v>
          </cell>
          <cell r="C70">
            <v>10.4</v>
          </cell>
          <cell r="D70">
            <v>10.48</v>
          </cell>
          <cell r="E70">
            <v>10.6</v>
          </cell>
          <cell r="F70">
            <v>10.54</v>
          </cell>
          <cell r="G70">
            <v>10.54</v>
          </cell>
          <cell r="K70" t="str">
            <v>SAN</v>
          </cell>
          <cell r="L70">
            <v>4.4423401911960481E-3</v>
          </cell>
          <cell r="M70">
            <v>8.7293889427739746E-3</v>
          </cell>
          <cell r="N70">
            <v>7.692307692307665E-3</v>
          </cell>
          <cell r="O70">
            <v>1.1450381679389166E-2</v>
          </cell>
          <cell r="P70">
            <v>-5.6603773584905648E-3</v>
          </cell>
          <cell r="Q70">
            <v>0</v>
          </cell>
        </row>
        <row r="71">
          <cell r="A71" t="str">
            <v>SAP</v>
          </cell>
          <cell r="B71">
            <v>249.04</v>
          </cell>
          <cell r="C71">
            <v>248.84</v>
          </cell>
          <cell r="D71">
            <v>247.1</v>
          </cell>
          <cell r="E71">
            <v>238.88</v>
          </cell>
          <cell r="F71">
            <v>235.84</v>
          </cell>
          <cell r="G71">
            <v>233.59</v>
          </cell>
          <cell r="K71" t="str">
            <v>SAP</v>
          </cell>
          <cell r="L71">
            <v>-1.2665566863384626E-2</v>
          </cell>
          <cell r="M71">
            <v>-8.0308384195304505E-4</v>
          </cell>
          <cell r="N71">
            <v>-6.9924449445427639E-3</v>
          </cell>
          <cell r="O71">
            <v>-3.3265884257385636E-2</v>
          </cell>
          <cell r="P71">
            <v>-1.2726054922973851E-2</v>
          </cell>
          <cell r="Q71">
            <v>-9.5403663500678304E-3</v>
          </cell>
        </row>
        <row r="72">
          <cell r="A72" t="str">
            <v>SCYR</v>
          </cell>
          <cell r="B72">
            <v>4.03</v>
          </cell>
          <cell r="C72">
            <v>3.94</v>
          </cell>
          <cell r="D72">
            <v>4</v>
          </cell>
          <cell r="E72">
            <v>3.97</v>
          </cell>
          <cell r="F72">
            <v>3.97</v>
          </cell>
          <cell r="G72">
            <v>4.0199999999999996</v>
          </cell>
          <cell r="K72" t="str">
            <v>SCYR</v>
          </cell>
          <cell r="L72">
            <v>-4.0192427384957432E-4</v>
          </cell>
          <cell r="M72">
            <v>-2.2332506203474045E-2</v>
          </cell>
          <cell r="N72">
            <v>1.5228426395939021E-2</v>
          </cell>
          <cell r="O72">
            <v>-7.4999999999999512E-3</v>
          </cell>
          <cell r="P72">
            <v>0</v>
          </cell>
          <cell r="Q72">
            <v>1.2594458438287104E-2</v>
          </cell>
        </row>
        <row r="73">
          <cell r="A73" t="str">
            <v>SLR</v>
          </cell>
          <cell r="B73">
            <v>17.43</v>
          </cell>
          <cell r="C73">
            <v>17.52</v>
          </cell>
          <cell r="D73">
            <v>17.8</v>
          </cell>
          <cell r="E73">
            <v>18.2</v>
          </cell>
          <cell r="F73">
            <v>17.98</v>
          </cell>
          <cell r="G73">
            <v>17.77</v>
          </cell>
          <cell r="K73" t="str">
            <v>SLR</v>
          </cell>
          <cell r="L73">
            <v>3.9699200645858298E-3</v>
          </cell>
          <cell r="M73">
            <v>5.1635111876076056E-3</v>
          </cell>
          <cell r="N73">
            <v>1.5981735159817489E-2</v>
          </cell>
          <cell r="O73">
            <v>2.2471910112359383E-2</v>
          </cell>
          <cell r="P73">
            <v>-1.2087912087912045E-2</v>
          </cell>
          <cell r="Q73">
            <v>-1.1679644048943283E-2</v>
          </cell>
        </row>
        <row r="74">
          <cell r="A74" t="str">
            <v>SND</v>
          </cell>
          <cell r="B74">
            <v>276</v>
          </cell>
          <cell r="C74">
            <v>276.85000000000002</v>
          </cell>
          <cell r="D74">
            <v>235</v>
          </cell>
          <cell r="E74">
            <v>234.3</v>
          </cell>
          <cell r="F74">
            <v>234.2</v>
          </cell>
          <cell r="G74">
            <v>235.15</v>
          </cell>
          <cell r="K74" t="str">
            <v>SND</v>
          </cell>
          <cell r="L74">
            <v>-2.9486869030879648E-2</v>
          </cell>
          <cell r="M74">
            <v>3.0797101449275832E-3</v>
          </cell>
          <cell r="N74">
            <v>-0.15116489073505512</v>
          </cell>
          <cell r="O74">
            <v>-2.9787234042553123E-3</v>
          </cell>
          <cell r="P74">
            <v>-4.2680324370469869E-4</v>
          </cell>
          <cell r="Q74">
            <v>4.0563620836893133E-3</v>
          </cell>
        </row>
        <row r="75">
          <cell r="A75" t="str">
            <v>SPX</v>
          </cell>
          <cell r="B75">
            <v>7122.44</v>
          </cell>
          <cell r="C75">
            <v>7052.99</v>
          </cell>
          <cell r="D75">
            <v>7015</v>
          </cell>
          <cell r="E75">
            <v>7110</v>
          </cell>
          <cell r="F75">
            <v>7255</v>
          </cell>
          <cell r="G75">
            <v>7185</v>
          </cell>
          <cell r="K75" t="str">
            <v>SPX</v>
          </cell>
          <cell r="L75">
            <v>1.8300924899757876E-3</v>
          </cell>
          <cell r="M75">
            <v>-9.7508718922166837E-3</v>
          </cell>
          <cell r="N75">
            <v>-5.3863680509967926E-3</v>
          </cell>
          <cell r="O75">
            <v>1.3542409123307175E-2</v>
          </cell>
          <cell r="P75">
            <v>2.0393811533051975E-2</v>
          </cell>
          <cell r="Q75">
            <v>-9.6485182632667366E-3</v>
          </cell>
        </row>
        <row r="76">
          <cell r="A76" t="str">
            <v>SQRL</v>
          </cell>
          <cell r="B76">
            <v>2.5499999999999998</v>
          </cell>
          <cell r="C76">
            <v>2.5499999999999998</v>
          </cell>
          <cell r="D76">
            <v>2.5</v>
          </cell>
          <cell r="E76">
            <v>2.42</v>
          </cell>
          <cell r="F76">
            <v>2.44</v>
          </cell>
          <cell r="G76">
            <v>2.4700000000000002</v>
          </cell>
          <cell r="K76" t="str">
            <v>SQRL</v>
          </cell>
          <cell r="L76">
            <v>-6.20965967202487E-3</v>
          </cell>
          <cell r="M76">
            <v>0</v>
          </cell>
          <cell r="N76">
            <v>-1.9607843137254832E-2</v>
          </cell>
          <cell r="O76">
            <v>-3.2000000000000028E-2</v>
          </cell>
          <cell r="P76">
            <v>8.2644628099173278E-3</v>
          </cell>
          <cell r="Q76">
            <v>1.2295081967213184E-2</v>
          </cell>
        </row>
        <row r="77">
          <cell r="A77" t="str">
            <v>TEF</v>
          </cell>
          <cell r="B77">
            <v>3.42</v>
          </cell>
          <cell r="C77">
            <v>3.4</v>
          </cell>
          <cell r="D77">
            <v>3.35</v>
          </cell>
          <cell r="E77">
            <v>3.39</v>
          </cell>
          <cell r="F77">
            <v>3.38</v>
          </cell>
          <cell r="G77">
            <v>3.34</v>
          </cell>
          <cell r="K77" t="str">
            <v>TEF</v>
          </cell>
          <cell r="L77">
            <v>-4.6795418191709626E-3</v>
          </cell>
          <cell r="M77">
            <v>-5.8479532163743242E-3</v>
          </cell>
          <cell r="N77">
            <v>-1.4705882352941124E-2</v>
          </cell>
          <cell r="O77">
            <v>1.1940298507462588E-2</v>
          </cell>
          <cell r="P77">
            <v>-2.9498525073746729E-3</v>
          </cell>
          <cell r="Q77">
            <v>-1.1834319526627279E-2</v>
          </cell>
        </row>
        <row r="78">
          <cell r="A78" t="str">
            <v>THYSSENKRUPP</v>
          </cell>
          <cell r="B78">
            <v>10.65</v>
          </cell>
          <cell r="C78">
            <v>10.47</v>
          </cell>
          <cell r="D78">
            <v>10.59</v>
          </cell>
          <cell r="E78">
            <v>10.210000000000001</v>
          </cell>
          <cell r="F78">
            <v>10.38</v>
          </cell>
          <cell r="G78">
            <v>10.32</v>
          </cell>
          <cell r="K78" t="str">
            <v>THYSSENKRUPP</v>
          </cell>
          <cell r="L78">
            <v>-6.0906005645834146E-3</v>
          </cell>
          <cell r="M78">
            <v>-1.6901408450704203E-2</v>
          </cell>
          <cell r="N78">
            <v>1.1461318051575908E-2</v>
          </cell>
          <cell r="O78">
            <v>-3.5882908404154756E-2</v>
          </cell>
          <cell r="P78">
            <v>1.6650342801175277E-2</v>
          </cell>
          <cell r="Q78">
            <v>-5.7803468208093012E-3</v>
          </cell>
        </row>
        <row r="79">
          <cell r="A79" t="str">
            <v>TRE</v>
          </cell>
          <cell r="B79">
            <v>29.92</v>
          </cell>
          <cell r="C79">
            <v>29.52</v>
          </cell>
          <cell r="D79">
            <v>30.42</v>
          </cell>
          <cell r="E79">
            <v>30.56</v>
          </cell>
          <cell r="F79">
            <v>30.18</v>
          </cell>
          <cell r="G79">
            <v>30.94</v>
          </cell>
          <cell r="K79" t="str">
            <v>TRE</v>
          </cell>
          <cell r="L79">
            <v>6.8937482424886506E-3</v>
          </cell>
          <cell r="M79">
            <v>-1.3368983957219305E-2</v>
          </cell>
          <cell r="N79">
            <v>3.0487804878048808E-2</v>
          </cell>
          <cell r="O79">
            <v>4.6022353714660902E-3</v>
          </cell>
          <cell r="P79">
            <v>-1.2434554973821954E-2</v>
          </cell>
          <cell r="Q79">
            <v>2.5182239893969616E-2</v>
          </cell>
        </row>
        <row r="80">
          <cell r="A80" t="str">
            <v>TUB</v>
          </cell>
          <cell r="B80">
            <v>3.58</v>
          </cell>
          <cell r="C80">
            <v>3.56</v>
          </cell>
          <cell r="D80">
            <v>3.6</v>
          </cell>
          <cell r="E80">
            <v>3.38</v>
          </cell>
          <cell r="F80">
            <v>3.38</v>
          </cell>
          <cell r="G80">
            <v>3.35</v>
          </cell>
          <cell r="K80" t="str">
            <v>TUB</v>
          </cell>
          <cell r="L80">
            <v>-1.2867497575734532E-2</v>
          </cell>
          <cell r="M80">
            <v>-5.5865921787709993E-3</v>
          </cell>
          <cell r="N80">
            <v>1.1235955056179803E-2</v>
          </cell>
          <cell r="O80">
            <v>-6.1111111111111116E-2</v>
          </cell>
          <cell r="P80">
            <v>0</v>
          </cell>
          <cell r="Q80">
            <v>-8.8757396449703485E-3</v>
          </cell>
        </row>
        <row r="81">
          <cell r="A81" t="str">
            <v>UNI</v>
          </cell>
          <cell r="B81">
            <v>3.05</v>
          </cell>
          <cell r="C81">
            <v>2.83</v>
          </cell>
          <cell r="D81">
            <v>2.81</v>
          </cell>
          <cell r="E81">
            <v>2.85</v>
          </cell>
          <cell r="F81">
            <v>2.82</v>
          </cell>
          <cell r="G81">
            <v>2.83</v>
          </cell>
          <cell r="K81" t="str">
            <v>UNI</v>
          </cell>
          <cell r="L81">
            <v>-1.4388725280804881E-2</v>
          </cell>
          <cell r="M81">
            <v>-7.2131147540983487E-2</v>
          </cell>
          <cell r="N81">
            <v>-7.0671378091873294E-3</v>
          </cell>
          <cell r="O81">
            <v>1.4234875444839812E-2</v>
          </cell>
          <cell r="P81">
            <v>-1.0526315789473717E-2</v>
          </cell>
          <cell r="Q81">
            <v>3.5460992907803135E-3</v>
          </cell>
        </row>
        <row r="82">
          <cell r="A82" t="str">
            <v>UNILEVERCL</v>
          </cell>
          <cell r="B82">
            <v>64.45</v>
          </cell>
          <cell r="C82">
            <v>64.42</v>
          </cell>
          <cell r="D82">
            <v>64.7</v>
          </cell>
          <cell r="E82">
            <v>65.33</v>
          </cell>
          <cell r="F82">
            <v>64.209999999999994</v>
          </cell>
          <cell r="G82">
            <v>64.510000000000005</v>
          </cell>
          <cell r="K82" t="str">
            <v>UNILEVERCL</v>
          </cell>
          <cell r="L82">
            <v>2.2933711946666603E-4</v>
          </cell>
          <cell r="M82">
            <v>-4.6547711404187897E-4</v>
          </cell>
          <cell r="N82">
            <v>4.3464762496119302E-3</v>
          </cell>
          <cell r="O82">
            <v>9.7372488408036251E-3</v>
          </cell>
          <cell r="P82">
            <v>-1.7143731823052288E-2</v>
          </cell>
          <cell r="Q82">
            <v>4.6721694440119421E-3</v>
          </cell>
        </row>
        <row r="83">
          <cell r="A83" t="str">
            <v>V</v>
          </cell>
          <cell r="B83">
            <v>345.16</v>
          </cell>
          <cell r="C83">
            <v>343.2</v>
          </cell>
          <cell r="D83">
            <v>327.88</v>
          </cell>
          <cell r="E83">
            <v>329.17</v>
          </cell>
          <cell r="F83">
            <v>327.75</v>
          </cell>
          <cell r="G83">
            <v>328.3</v>
          </cell>
          <cell r="K83" t="str">
            <v>V</v>
          </cell>
          <cell r="L83">
            <v>-9.8037252719365368E-3</v>
          </cell>
          <cell r="M83">
            <v>-5.6785259010314615E-3</v>
          </cell>
          <cell r="N83">
            <v>-4.4638694638694632E-2</v>
          </cell>
          <cell r="O83">
            <v>3.934366231548081E-3</v>
          </cell>
          <cell r="P83">
            <v>-4.3138803657685187E-3</v>
          </cell>
          <cell r="Q83">
            <v>1.6781083142638487E-3</v>
          </cell>
        </row>
        <row r="84">
          <cell r="A84" t="str">
            <v>VOW</v>
          </cell>
          <cell r="B84">
            <v>102.15</v>
          </cell>
          <cell r="C84">
            <v>102.1</v>
          </cell>
          <cell r="D84">
            <v>102.1</v>
          </cell>
          <cell r="E84">
            <v>102.6</v>
          </cell>
          <cell r="F84">
            <v>102.85</v>
          </cell>
          <cell r="G84">
            <v>101.4</v>
          </cell>
          <cell r="K84" t="str">
            <v>VOW</v>
          </cell>
          <cell r="L84">
            <v>-1.4507741406968311E-3</v>
          </cell>
          <cell r="M84">
            <v>-4.8947626040152237E-4</v>
          </cell>
          <cell r="N84">
            <v>0</v>
          </cell>
          <cell r="O84">
            <v>4.8971596474045587E-3</v>
          </cell>
          <cell r="P84">
            <v>2.436647173489348E-3</v>
          </cell>
          <cell r="Q84">
            <v>-1.409820126397654E-2</v>
          </cell>
        </row>
      </sheetData>
      <sheetData sheetId="23">
        <row r="1">
          <cell r="I1" t="str">
            <v>Ticker (TradingView)</v>
          </cell>
          <cell r="J1" t="str">
            <v>Origen</v>
          </cell>
          <cell r="K1" t="str">
            <v>Prob. éxito (Swing)</v>
          </cell>
          <cell r="L1" t="str">
            <v>Sesgo</v>
          </cell>
          <cell r="M1" t="str">
            <v>Horizonte (semanas)</v>
          </cell>
          <cell r="N1" t="str">
            <v>Beta (aprox.)</v>
          </cell>
          <cell r="O1" t="str">
            <v>Categoría</v>
          </cell>
          <cell r="P1" t="str">
            <v>Comentario operativo</v>
          </cell>
        </row>
        <row r="2">
          <cell r="I2" t="str">
            <v>MSFT</v>
          </cell>
          <cell r="J2" t="str">
            <v>NASDAQ</v>
          </cell>
          <cell r="K2">
            <v>0.66</v>
          </cell>
          <cell r="L2" t="str">
            <v>Largo</v>
          </cell>
          <cell r="M2" t="str">
            <v>2–6</v>
          </cell>
          <cell r="N2">
            <v>0.9</v>
          </cell>
          <cell r="O2" t="str">
            <v>Tech/Growth</v>
          </cell>
          <cell r="P2" t="str">
            <v>Preferible operar pullbacks a media 20/50 y rupturas de rango; stop bajo último mínimo; tomar parcial en +1R.</v>
          </cell>
        </row>
        <row r="3">
          <cell r="I3" t="str">
            <v>GOOGL</v>
          </cell>
          <cell r="J3" t="str">
            <v>NASDAQ</v>
          </cell>
          <cell r="K3">
            <v>0.64</v>
          </cell>
          <cell r="L3" t="str">
            <v>Largo</v>
          </cell>
          <cell r="M3" t="str">
            <v>2–6</v>
          </cell>
          <cell r="N3">
            <v>1.1000000000000001</v>
          </cell>
          <cell r="O3" t="str">
            <v>Tech/Growth</v>
          </cell>
          <cell r="P3" t="str">
            <v>Preferible operar pullbacks a media 20/50 y rupturas de rango; stop bajo último mínimo; tomar parcial en +1R.</v>
          </cell>
        </row>
        <row r="4">
          <cell r="I4" t="str">
            <v>AMZN</v>
          </cell>
          <cell r="J4" t="str">
            <v>NASDAQ</v>
          </cell>
          <cell r="K4">
            <v>0.63</v>
          </cell>
          <cell r="L4" t="str">
            <v>Largo</v>
          </cell>
          <cell r="M4" t="str">
            <v>2–6</v>
          </cell>
          <cell r="N4">
            <v>1.2</v>
          </cell>
          <cell r="O4" t="str">
            <v>Tech/Growth</v>
          </cell>
          <cell r="P4" t="str">
            <v>Preferible operar pullbacks a media 20/50 y rupturas de rango; stop bajo último mínimo; tomar parcial en +1R.</v>
          </cell>
        </row>
        <row r="5">
          <cell r="I5" t="str">
            <v>LLY</v>
          </cell>
          <cell r="J5" t="str">
            <v>NYSE</v>
          </cell>
          <cell r="K5">
            <v>0.63</v>
          </cell>
          <cell r="L5" t="str">
            <v>Largo</v>
          </cell>
          <cell r="M5" t="str">
            <v>3–8</v>
          </cell>
          <cell r="N5">
            <v>0.8</v>
          </cell>
          <cell r="O5" t="str">
            <v>Salud</v>
          </cell>
          <cell r="P5" t="str">
            <v>Tendencias suelen ser sostenidas; vigilar gaps por noticias; usar stop por cierre y tamaño reducido.</v>
          </cell>
        </row>
        <row r="6">
          <cell r="I6" t="str">
            <v>META</v>
          </cell>
          <cell r="J6" t="str">
            <v>NASDAQ</v>
          </cell>
          <cell r="K6">
            <v>0.62</v>
          </cell>
          <cell r="L6" t="str">
            <v>Largo</v>
          </cell>
          <cell r="M6" t="str">
            <v>2–6</v>
          </cell>
          <cell r="N6">
            <v>1.3</v>
          </cell>
          <cell r="O6" t="str">
            <v>Tech/Growth</v>
          </cell>
          <cell r="P6" t="str">
            <v>Preferible operar pullbacks a media 20/50 y rupturas de rango; stop bajo último mínimo; tomar parcial en +1R.</v>
          </cell>
        </row>
        <row r="7">
          <cell r="I7" t="str">
            <v>ASML</v>
          </cell>
          <cell r="J7" t="str">
            <v>NASDAQ</v>
          </cell>
          <cell r="K7">
            <v>0.61</v>
          </cell>
          <cell r="L7" t="str">
            <v>Neutral</v>
          </cell>
          <cell r="M7" t="str">
            <v>2–6</v>
          </cell>
          <cell r="N7">
            <v>1.2</v>
          </cell>
          <cell r="O7" t="str">
            <v>Tech/Growth</v>
          </cell>
          <cell r="P7" t="str">
            <v>Preferible operar pullbacks a media 20/50 y rupturas de rango; stop bajo último mínimo; tomar parcial en +1R.</v>
          </cell>
        </row>
        <row r="8">
          <cell r="I8" t="str">
            <v>NOW</v>
          </cell>
          <cell r="J8" t="str">
            <v>NYSE</v>
          </cell>
          <cell r="K8">
            <v>0.6</v>
          </cell>
          <cell r="L8" t="str">
            <v>Neutral</v>
          </cell>
          <cell r="M8" t="str">
            <v>2–6</v>
          </cell>
          <cell r="N8">
            <v>1.3</v>
          </cell>
          <cell r="O8" t="str">
            <v>Tech/Growth</v>
          </cell>
          <cell r="P8" t="str">
            <v>Preferible operar pullbacks a media 20/50 y rupturas de rango; stop bajo último mínimo; tomar parcial en +1R.</v>
          </cell>
        </row>
        <row r="9">
          <cell r="I9" t="str">
            <v>GD</v>
          </cell>
          <cell r="J9" t="str">
            <v>NYSE</v>
          </cell>
          <cell r="K9">
            <v>0.59</v>
          </cell>
          <cell r="L9" t="str">
            <v>Largo</v>
          </cell>
          <cell r="M9" t="str">
            <v>4–10</v>
          </cell>
          <cell r="N9">
            <v>1</v>
          </cell>
          <cell r="O9" t="str">
            <v>Defensa/Aero</v>
          </cell>
          <cell r="P9" t="str">
            <v>Favorece swings por ruptura de resistencia; evitar perseguir tras gap; stop bajo soporte semanal.</v>
          </cell>
        </row>
        <row r="10">
          <cell r="I10" t="str">
            <v>LMT</v>
          </cell>
          <cell r="J10" t="str">
            <v>NYSE</v>
          </cell>
          <cell r="K10">
            <v>0.59</v>
          </cell>
          <cell r="L10" t="str">
            <v>Largo</v>
          </cell>
          <cell r="M10" t="str">
            <v>4–10</v>
          </cell>
          <cell r="N10">
            <v>1</v>
          </cell>
          <cell r="O10" t="str">
            <v>Defensa/Aero</v>
          </cell>
          <cell r="P10" t="str">
            <v>Favorece swings por ruptura de resistencia; evitar perseguir tras gap; stop bajo soporte semanal.</v>
          </cell>
        </row>
        <row r="11">
          <cell r="I11" t="str">
            <v>NOC</v>
          </cell>
          <cell r="J11" t="str">
            <v>NYSE</v>
          </cell>
          <cell r="K11">
            <v>0.59</v>
          </cell>
          <cell r="L11" t="str">
            <v>Largo</v>
          </cell>
          <cell r="M11" t="str">
            <v>4–10</v>
          </cell>
          <cell r="N11">
            <v>1</v>
          </cell>
          <cell r="O11" t="str">
            <v>Defensa/Aero</v>
          </cell>
          <cell r="P11" t="str">
            <v>Favorece swings por ruptura de resistencia; evitar perseguir tras gap; stop bajo soporte semanal.</v>
          </cell>
        </row>
        <row r="12">
          <cell r="I12" t="str">
            <v>ALC</v>
          </cell>
          <cell r="J12" t="str">
            <v>SIX</v>
          </cell>
          <cell r="K12">
            <v>0.57999999999999996</v>
          </cell>
          <cell r="L12" t="str">
            <v>Largo</v>
          </cell>
          <cell r="M12" t="str">
            <v>3–8</v>
          </cell>
          <cell r="N12">
            <v>0.9</v>
          </cell>
          <cell r="O12" t="str">
            <v>Salud</v>
          </cell>
          <cell r="P12" t="str">
            <v>Tendencias suelen ser sostenidas; vigilar gaps por noticias; usar stop por cierre y tamaño reducido.</v>
          </cell>
        </row>
        <row r="13">
          <cell r="I13" t="str">
            <v>EBRO</v>
          </cell>
          <cell r="J13" t="str">
            <v>BME</v>
          </cell>
          <cell r="K13">
            <v>0.57999999999999996</v>
          </cell>
          <cell r="L13" t="str">
            <v>Neutral</v>
          </cell>
          <cell r="M13" t="str">
            <v>4–10</v>
          </cell>
          <cell r="N13">
            <v>0.7</v>
          </cell>
          <cell r="O13" t="str">
            <v>Defensivo</v>
          </cell>
          <cell r="P13" t="str">
            <v>Mejor en entornos de mercado volátil; entradas en retrocesos suaves; objetivos modestos (1–1.5R).</v>
          </cell>
        </row>
        <row r="14">
          <cell r="I14" t="str">
            <v>NVDA</v>
          </cell>
          <cell r="J14" t="str">
            <v>NASDAQ</v>
          </cell>
          <cell r="K14">
            <v>0.57999999999999996</v>
          </cell>
          <cell r="L14" t="str">
            <v>Neutral</v>
          </cell>
          <cell r="M14" t="str">
            <v>2–6</v>
          </cell>
          <cell r="N14">
            <v>1.7</v>
          </cell>
          <cell r="O14" t="str">
            <v>Tech/Growth</v>
          </cell>
          <cell r="P14" t="str">
            <v>Preferible operar pullbacks a media 20/50 y rupturas de rango; stop bajo último mínimo; tomar parcial en +1R.</v>
          </cell>
        </row>
        <row r="15">
          <cell r="I15" t="str">
            <v>PG</v>
          </cell>
          <cell r="J15" t="str">
            <v>NYSE</v>
          </cell>
          <cell r="K15">
            <v>0.57999999999999996</v>
          </cell>
          <cell r="L15" t="str">
            <v>Neutral</v>
          </cell>
          <cell r="M15" t="str">
            <v>4–10</v>
          </cell>
          <cell r="N15">
            <v>0.6</v>
          </cell>
          <cell r="O15" t="str">
            <v>Defensivo</v>
          </cell>
          <cell r="P15" t="str">
            <v>Mejor en entornos de mercado volátil; entradas en retrocesos suaves; objetivos modestos (1–1.5R).</v>
          </cell>
        </row>
        <row r="16">
          <cell r="I16" t="str">
            <v>UNILEVERCL</v>
          </cell>
          <cell r="J16" t="str">
            <v>BCS</v>
          </cell>
          <cell r="K16">
            <v>0.57999999999999996</v>
          </cell>
          <cell r="L16" t="str">
            <v>Neutral</v>
          </cell>
          <cell r="M16" t="str">
            <v>4–10</v>
          </cell>
          <cell r="N16">
            <v>0.7</v>
          </cell>
          <cell r="O16" t="str">
            <v>Defensivo</v>
          </cell>
          <cell r="P16" t="str">
            <v>Mejor en entornos de mercado volátil; entradas en retrocesos suaves; objetivos modestos (1–1.5R).</v>
          </cell>
        </row>
        <row r="17">
          <cell r="I17" t="str">
            <v>CRWD</v>
          </cell>
          <cell r="J17" t="str">
            <v>NASDAQ</v>
          </cell>
          <cell r="K17">
            <v>0.56999999999999995</v>
          </cell>
          <cell r="L17" t="str">
            <v>Neutral</v>
          </cell>
          <cell r="M17" t="str">
            <v>2–6</v>
          </cell>
          <cell r="N17">
            <v>1.6</v>
          </cell>
          <cell r="O17" t="str">
            <v>Tech/Growth</v>
          </cell>
          <cell r="P17" t="str">
            <v>Preferible operar pullbacks a media 20/50 y rupturas de rango; stop bajo último mínimo; tomar parcial en +1R.</v>
          </cell>
        </row>
        <row r="18">
          <cell r="I18" t="str">
            <v>ELE</v>
          </cell>
          <cell r="J18" t="str">
            <v>BME</v>
          </cell>
          <cell r="K18">
            <v>0.56999999999999995</v>
          </cell>
          <cell r="L18" t="str">
            <v>Neutral</v>
          </cell>
          <cell r="M18" t="str">
            <v>3–8</v>
          </cell>
          <cell r="N18">
            <v>0.8</v>
          </cell>
          <cell r="O18" t="str">
            <v>Energía/Utilities</v>
          </cell>
          <cell r="P18" t="str">
            <v>Funciona bien con soportes claros; cuidado con noticias regulatorias y crudo/gas; trailing stop por mínimos crecientes.</v>
          </cell>
        </row>
        <row r="19">
          <cell r="I19" t="str">
            <v>ENG</v>
          </cell>
          <cell r="J19" t="str">
            <v>BME</v>
          </cell>
          <cell r="K19">
            <v>0.56999999999999995</v>
          </cell>
          <cell r="L19" t="str">
            <v>Neutral</v>
          </cell>
          <cell r="M19" t="str">
            <v>3–8</v>
          </cell>
          <cell r="N19">
            <v>1.1000000000000001</v>
          </cell>
          <cell r="O19" t="str">
            <v>Energía/Utilities</v>
          </cell>
          <cell r="P19" t="str">
            <v>Funciona bien con soportes claros; cuidado con noticias regulatorias y crudo/gas; trailing stop por mínimos crecientes.</v>
          </cell>
        </row>
        <row r="20">
          <cell r="I20" t="str">
            <v>IBE</v>
          </cell>
          <cell r="J20" t="str">
            <v>BME</v>
          </cell>
          <cell r="K20">
            <v>0.56999999999999995</v>
          </cell>
          <cell r="L20" t="str">
            <v>Neutral</v>
          </cell>
          <cell r="M20" t="str">
            <v>3–8</v>
          </cell>
          <cell r="N20">
            <v>0.9</v>
          </cell>
          <cell r="O20" t="str">
            <v>Energía/Utilities</v>
          </cell>
          <cell r="P20" t="str">
            <v>Funciona bien con soportes claros; cuidado con noticias regulatorias y crudo/gas; trailing stop por mínimos crecientes.</v>
          </cell>
        </row>
        <row r="21">
          <cell r="I21" t="str">
            <v>NTGY</v>
          </cell>
          <cell r="J21" t="str">
            <v>BME</v>
          </cell>
          <cell r="K21">
            <v>0.56999999999999995</v>
          </cell>
          <cell r="L21" t="str">
            <v>Neutral</v>
          </cell>
          <cell r="M21" t="str">
            <v>3–8</v>
          </cell>
          <cell r="N21">
            <v>0.85</v>
          </cell>
          <cell r="O21" t="str">
            <v>Energía/Utilities</v>
          </cell>
          <cell r="P21" t="str">
            <v>Funciona bien con soportes claros; cuidado con noticias regulatorias y crudo/gas; trailing stop por mínimos crecientes.</v>
          </cell>
        </row>
        <row r="22">
          <cell r="I22" t="str">
            <v>REP</v>
          </cell>
          <cell r="J22" t="str">
            <v>BME</v>
          </cell>
          <cell r="K22">
            <v>0.56999999999999995</v>
          </cell>
          <cell r="L22" t="str">
            <v>Neutral</v>
          </cell>
          <cell r="M22" t="str">
            <v>3–8</v>
          </cell>
          <cell r="N22">
            <v>1.2</v>
          </cell>
          <cell r="O22" t="str">
            <v>Energía/Utilities</v>
          </cell>
          <cell r="P22" t="str">
            <v>Funciona bien con soportes claros; cuidado con noticias regulatorias y crudo/gas; trailing stop por mínimos crecientes.</v>
          </cell>
        </row>
        <row r="23">
          <cell r="I23" t="str">
            <v>AIR</v>
          </cell>
          <cell r="J23" t="str">
            <v>EURONEXT</v>
          </cell>
          <cell r="K23">
            <v>0.56000000000000005</v>
          </cell>
          <cell r="L23" t="str">
            <v>Largo</v>
          </cell>
          <cell r="M23" t="str">
            <v>4–10</v>
          </cell>
          <cell r="N23">
            <v>1.1000000000000001</v>
          </cell>
          <cell r="O23" t="str">
            <v>Defensa/Aero</v>
          </cell>
          <cell r="P23" t="str">
            <v>Favorece swings por ruptura de resistencia; evitar perseguir tras gap; stop bajo soporte semanal.</v>
          </cell>
        </row>
        <row r="24">
          <cell r="I24" t="str">
            <v>AIR</v>
          </cell>
          <cell r="J24" t="str">
            <v>NYSE</v>
          </cell>
          <cell r="K24">
            <v>0.56000000000000005</v>
          </cell>
          <cell r="L24" t="str">
            <v>Largo</v>
          </cell>
          <cell r="M24" t="str">
            <v>4–10</v>
          </cell>
          <cell r="N24">
            <v>1.3</v>
          </cell>
          <cell r="O24" t="str">
            <v>Defensa/Aero</v>
          </cell>
          <cell r="P24" t="str">
            <v>Favorece swings por ruptura de resistencia; evitar perseguir tras gap; stop bajo soporte semanal.</v>
          </cell>
        </row>
        <row r="25">
          <cell r="I25" t="str">
            <v>BA</v>
          </cell>
          <cell r="J25" t="str">
            <v>NYSE</v>
          </cell>
          <cell r="K25">
            <v>0.56000000000000005</v>
          </cell>
          <cell r="L25" t="str">
            <v>Neutral</v>
          </cell>
          <cell r="M25" t="str">
            <v>4–10</v>
          </cell>
          <cell r="N25">
            <v>1</v>
          </cell>
          <cell r="O25" t="str">
            <v>Defensa/Aero</v>
          </cell>
          <cell r="P25" t="str">
            <v>Favorece swings por ruptura de resistencia; evitar perseguir tras gap; stop bajo soporte semanal.</v>
          </cell>
        </row>
        <row r="26">
          <cell r="I26" t="str">
            <v>DDOG</v>
          </cell>
          <cell r="J26" t="str">
            <v>NASDAQ</v>
          </cell>
          <cell r="K26">
            <v>0.56000000000000005</v>
          </cell>
          <cell r="L26" t="str">
            <v>Neutral</v>
          </cell>
          <cell r="M26" t="str">
            <v>2–6</v>
          </cell>
          <cell r="N26">
            <v>1.7</v>
          </cell>
          <cell r="O26" t="str">
            <v>Tech/Growth</v>
          </cell>
          <cell r="P26" t="str">
            <v>Preferible operar pullbacks a media 20/50 y rupturas de rango; stop bajo último mínimo; tomar parcial en +1R.</v>
          </cell>
        </row>
        <row r="27">
          <cell r="I27" t="str">
            <v>HII</v>
          </cell>
          <cell r="J27" t="str">
            <v>NYSE</v>
          </cell>
          <cell r="K27">
            <v>0.56000000000000005</v>
          </cell>
          <cell r="L27" t="str">
            <v>Largo</v>
          </cell>
          <cell r="M27" t="str">
            <v>4–10</v>
          </cell>
          <cell r="N27">
            <v>1</v>
          </cell>
          <cell r="O27" t="str">
            <v>Defensa/Aero</v>
          </cell>
          <cell r="P27" t="str">
            <v>Favorece swings por ruptura de resistencia; evitar perseguir tras gap; stop bajo soporte semanal.</v>
          </cell>
        </row>
        <row r="28">
          <cell r="I28" t="str">
            <v>LDO</v>
          </cell>
          <cell r="J28" t="str">
            <v>BME</v>
          </cell>
          <cell r="K28">
            <v>0.56000000000000005</v>
          </cell>
          <cell r="L28" t="str">
            <v>Largo</v>
          </cell>
          <cell r="M28" t="str">
            <v>4–10</v>
          </cell>
          <cell r="N28">
            <v>1</v>
          </cell>
          <cell r="O28" t="str">
            <v>Defensa/Aero</v>
          </cell>
          <cell r="P28" t="str">
            <v>Favorece swings por ruptura de resistencia; evitar perseguir tras gap; stop bajo soporte semanal.</v>
          </cell>
        </row>
        <row r="29">
          <cell r="I29" t="str">
            <v>LHX</v>
          </cell>
          <cell r="J29" t="str">
            <v>NYSE</v>
          </cell>
          <cell r="K29">
            <v>0.56000000000000005</v>
          </cell>
          <cell r="L29" t="str">
            <v>Largo</v>
          </cell>
          <cell r="M29" t="str">
            <v>4–10</v>
          </cell>
          <cell r="N29">
            <v>1</v>
          </cell>
          <cell r="O29" t="str">
            <v>Defensa/Aero</v>
          </cell>
          <cell r="P29" t="str">
            <v>Favorece swings por ruptura de resistencia; evitar perseguir tras gap; stop bajo soporte semanal.</v>
          </cell>
        </row>
        <row r="30">
          <cell r="I30" t="str">
            <v>RTX</v>
          </cell>
          <cell r="J30" t="str">
            <v>NYSE</v>
          </cell>
          <cell r="K30">
            <v>0.56000000000000005</v>
          </cell>
          <cell r="L30" t="str">
            <v>Largo</v>
          </cell>
          <cell r="M30" t="str">
            <v>4–10</v>
          </cell>
          <cell r="N30">
            <v>1</v>
          </cell>
          <cell r="O30" t="str">
            <v>Defensa/Aero</v>
          </cell>
          <cell r="P30" t="str">
            <v>Favorece swings por ruptura de resistencia; evitar perseguir tras gap; stop bajo soporte semanal.</v>
          </cell>
        </row>
        <row r="31">
          <cell r="I31" t="str">
            <v>SAAB_B</v>
          </cell>
          <cell r="J31" t="str">
            <v>OMXSTO</v>
          </cell>
          <cell r="K31">
            <v>0.56000000000000005</v>
          </cell>
          <cell r="L31" t="str">
            <v>Largo</v>
          </cell>
          <cell r="M31" t="str">
            <v>4–10</v>
          </cell>
          <cell r="N31">
            <v>1</v>
          </cell>
          <cell r="O31" t="str">
            <v>Defensa/Aero</v>
          </cell>
          <cell r="P31" t="str">
            <v>Favorece swings por ruptura de resistencia; evitar perseguir tras gap; stop bajo soporte semanal.</v>
          </cell>
        </row>
        <row r="32">
          <cell r="I32" t="str">
            <v>SPX</v>
          </cell>
          <cell r="J32" t="str">
            <v>LSE</v>
          </cell>
          <cell r="K32">
            <v>0.56000000000000005</v>
          </cell>
          <cell r="L32" t="str">
            <v>Neutral</v>
          </cell>
          <cell r="M32" t="str">
            <v>3–8</v>
          </cell>
          <cell r="N32">
            <v>1</v>
          </cell>
          <cell r="O32" t="str">
            <v>Índice</v>
          </cell>
          <cell r="P32" t="str">
            <v>Índice/benchmark: usar para confirmar régimen (risk-on/off). Swing: rupturas de máximos o pullbacks a soporte.</v>
          </cell>
        </row>
        <row r="33">
          <cell r="I33" t="str">
            <v>BBVA</v>
          </cell>
          <cell r="J33" t="str">
            <v>BME</v>
          </cell>
          <cell r="K33">
            <v>0.55000000000000004</v>
          </cell>
          <cell r="L33" t="str">
            <v>Neutral</v>
          </cell>
          <cell r="M33" t="str">
            <v>3–7</v>
          </cell>
          <cell r="N33">
            <v>1.3</v>
          </cell>
          <cell r="O33" t="str">
            <v>Banca</v>
          </cell>
          <cell r="P33" t="str">
            <v>Muy sensible a tipos y riesgo país; operar rangos/rupturas con confirmación; stop ajustado por volatilidad.</v>
          </cell>
        </row>
        <row r="34">
          <cell r="I34" t="str">
            <v>BKT</v>
          </cell>
          <cell r="J34" t="str">
            <v>BME</v>
          </cell>
          <cell r="K34">
            <v>0.55000000000000004</v>
          </cell>
          <cell r="L34" t="str">
            <v>Neutral</v>
          </cell>
          <cell r="M34" t="str">
            <v>3–7</v>
          </cell>
          <cell r="N34">
            <v>1.3</v>
          </cell>
          <cell r="O34" t="str">
            <v>Banca</v>
          </cell>
          <cell r="P34" t="str">
            <v>Muy sensible a tipos y riesgo país; operar rangos/rupturas con confirmación; stop ajustado por volatilidad.</v>
          </cell>
        </row>
        <row r="35">
          <cell r="I35" t="str">
            <v>CABK</v>
          </cell>
          <cell r="J35" t="str">
            <v>BME</v>
          </cell>
          <cell r="K35">
            <v>0.55000000000000004</v>
          </cell>
          <cell r="L35" t="str">
            <v>Neutral</v>
          </cell>
          <cell r="M35" t="str">
            <v>3–7</v>
          </cell>
          <cell r="N35">
            <v>1.3</v>
          </cell>
          <cell r="O35" t="str">
            <v>Banca</v>
          </cell>
          <cell r="P35" t="str">
            <v>Muy sensible a tipos y riesgo país; operar rangos/rupturas con confirmación; stop ajustado por volatilidad.</v>
          </cell>
        </row>
        <row r="36">
          <cell r="I36" t="str">
            <v>IBC</v>
          </cell>
          <cell r="J36" t="str">
            <v>BME</v>
          </cell>
          <cell r="K36">
            <v>0.55000000000000004</v>
          </cell>
          <cell r="L36" t="str">
            <v>Neutral</v>
          </cell>
          <cell r="M36" t="str">
            <v>3–7</v>
          </cell>
          <cell r="N36">
            <v>1.3</v>
          </cell>
          <cell r="O36" t="str">
            <v>Banca</v>
          </cell>
          <cell r="P36" t="str">
            <v>Muy sensible a tipos y riesgo país; operar rangos/rupturas con confirmación; stop ajustado por volatilidad.</v>
          </cell>
        </row>
        <row r="37">
          <cell r="I37" t="str">
            <v>PLTR</v>
          </cell>
          <cell r="J37" t="str">
            <v>NYSE</v>
          </cell>
          <cell r="K37">
            <v>0.55000000000000004</v>
          </cell>
          <cell r="L37" t="str">
            <v>Neutral</v>
          </cell>
          <cell r="M37" t="str">
            <v>2–6</v>
          </cell>
          <cell r="N37">
            <v>1.8</v>
          </cell>
          <cell r="O37" t="str">
            <v>Tech/Growth</v>
          </cell>
          <cell r="P37" t="str">
            <v>Preferible operar pullbacks a media 20/50 y rupturas de rango; stop bajo último mínimo; tomar parcial en +1R.</v>
          </cell>
        </row>
        <row r="38">
          <cell r="I38" t="str">
            <v>PYPL</v>
          </cell>
          <cell r="J38" t="str">
            <v>NASDAQ</v>
          </cell>
          <cell r="K38">
            <v>0.55000000000000004</v>
          </cell>
          <cell r="L38" t="str">
            <v>Neutral</v>
          </cell>
          <cell r="M38" t="str">
            <v>2–6</v>
          </cell>
          <cell r="N38">
            <v>1.4</v>
          </cell>
          <cell r="O38" t="str">
            <v>Tech/Growth</v>
          </cell>
          <cell r="P38" t="str">
            <v>Preferible operar pullbacks a media 20/50 y rupturas de rango; stop bajo último mínimo; tomar parcial en +1R.</v>
          </cell>
        </row>
        <row r="39">
          <cell r="I39" t="str">
            <v>SAB</v>
          </cell>
          <cell r="J39" t="str">
            <v>BME</v>
          </cell>
          <cell r="K39">
            <v>0.55000000000000004</v>
          </cell>
          <cell r="L39" t="str">
            <v>Neutral</v>
          </cell>
          <cell r="M39" t="str">
            <v>3–7</v>
          </cell>
          <cell r="N39">
            <v>1.3</v>
          </cell>
          <cell r="O39" t="str">
            <v>Banca</v>
          </cell>
          <cell r="P39" t="str">
            <v>Muy sensible a tipos y riesgo país; operar rangos/rupturas con confirmación; stop ajustado por volatilidad.</v>
          </cell>
        </row>
        <row r="40">
          <cell r="I40" t="str">
            <v>SAN</v>
          </cell>
          <cell r="J40" t="str">
            <v>BME</v>
          </cell>
          <cell r="K40">
            <v>0.55000000000000004</v>
          </cell>
          <cell r="L40" t="str">
            <v>Neutral</v>
          </cell>
          <cell r="M40" t="str">
            <v>3–7</v>
          </cell>
          <cell r="N40">
            <v>1.3</v>
          </cell>
          <cell r="O40" t="str">
            <v>Banca</v>
          </cell>
          <cell r="P40" t="str">
            <v>Muy sensible a tipos y riesgo país; operar rangos/rupturas con confirmación; stop ajustado por volatilidad.</v>
          </cell>
        </row>
        <row r="41">
          <cell r="I41" t="str">
            <v>RHM</v>
          </cell>
          <cell r="J41" t="str">
            <v>XETR</v>
          </cell>
          <cell r="K41">
            <v>0.54</v>
          </cell>
          <cell r="L41" t="str">
            <v>Largo</v>
          </cell>
          <cell r="M41" t="str">
            <v>2–6</v>
          </cell>
          <cell r="N41">
            <v>1.4</v>
          </cell>
          <cell r="O41" t="str">
            <v>Cíclico/Industria</v>
          </cell>
          <cell r="P41" t="str">
            <v>Mayor volatilidad: priorizar entradas con señal clara (ruptura + volumen / pullback); stop amplio o tamaño menor.</v>
          </cell>
        </row>
        <row r="42">
          <cell r="I42" t="str">
            <v>ACX</v>
          </cell>
          <cell r="J42" t="str">
            <v>BME</v>
          </cell>
          <cell r="K42">
            <v>0.54</v>
          </cell>
          <cell r="L42" t="str">
            <v>Largo</v>
          </cell>
          <cell r="M42" t="str">
            <v>2–6</v>
          </cell>
          <cell r="N42">
            <v>1.3</v>
          </cell>
          <cell r="O42" t="str">
            <v>Cíclico/Industria</v>
          </cell>
          <cell r="P42" t="str">
            <v>Mayor volatilidad: priorizar entradas con señal clara (ruptura + volumen / pullback); stop amplio o tamaño menor.</v>
          </cell>
        </row>
        <row r="43">
          <cell r="I43" t="str">
            <v>AMP</v>
          </cell>
          <cell r="J43" t="str">
            <v>BME</v>
          </cell>
          <cell r="K43">
            <v>0.54</v>
          </cell>
          <cell r="L43" t="str">
            <v>Largo</v>
          </cell>
          <cell r="M43" t="str">
            <v>2–6</v>
          </cell>
          <cell r="N43">
            <v>1.3</v>
          </cell>
          <cell r="O43" t="str">
            <v>Cíclico/Industria</v>
          </cell>
          <cell r="P43" t="str">
            <v>Mayor volatilidad: priorizar entradas con señal clara (ruptura + volumen / pullback); stop amplio o tamaño menor.</v>
          </cell>
        </row>
        <row r="44">
          <cell r="I44" t="str">
            <v>AMS</v>
          </cell>
          <cell r="J44" t="str">
            <v>SIX</v>
          </cell>
          <cell r="K44">
            <v>0.54</v>
          </cell>
          <cell r="L44" t="str">
            <v>Largo</v>
          </cell>
          <cell r="M44" t="str">
            <v>2–6</v>
          </cell>
          <cell r="N44">
            <v>1.3</v>
          </cell>
          <cell r="O44" t="str">
            <v>Cíclico/Industria</v>
          </cell>
          <cell r="P44" t="str">
            <v>Mayor volatilidad: priorizar entradas con señal clara (ruptura + volumen / pullback); stop amplio o tamaño menor.</v>
          </cell>
        </row>
        <row r="45">
          <cell r="I45" t="str">
            <v>ETN</v>
          </cell>
          <cell r="J45" t="str">
            <v>NYSE</v>
          </cell>
          <cell r="K45">
            <v>0.54</v>
          </cell>
          <cell r="L45" t="str">
            <v>Largo</v>
          </cell>
          <cell r="M45" t="str">
            <v>2–6</v>
          </cell>
          <cell r="N45">
            <v>1.1000000000000001</v>
          </cell>
          <cell r="O45" t="str">
            <v>Cíclico/Industria</v>
          </cell>
          <cell r="P45" t="str">
            <v>Mayor volatilidad: priorizar entradas con señal clara (ruptura + volumen / pullback); stop amplio o tamaño menor.</v>
          </cell>
        </row>
        <row r="46">
          <cell r="I46" t="str">
            <v>FER</v>
          </cell>
          <cell r="J46" t="str">
            <v>BME</v>
          </cell>
          <cell r="K46">
            <v>0.54</v>
          </cell>
          <cell r="L46" t="str">
            <v>Largo</v>
          </cell>
          <cell r="M46" t="str">
            <v>2–6</v>
          </cell>
          <cell r="N46">
            <v>1.2</v>
          </cell>
          <cell r="O46" t="str">
            <v>Cíclico/Industria</v>
          </cell>
          <cell r="P46" t="str">
            <v>Mayor volatilidad: priorizar entradas con señal clara (ruptura + volumen / pullback); stop amplio o tamaño menor.</v>
          </cell>
        </row>
        <row r="47">
          <cell r="I47" t="str">
            <v>Global</v>
          </cell>
          <cell r="J47" t="str">
            <v>HAG</v>
          </cell>
          <cell r="K47">
            <v>0.54</v>
          </cell>
          <cell r="L47" t="str">
            <v>Largo</v>
          </cell>
          <cell r="M47" t="str">
            <v>2–6</v>
          </cell>
          <cell r="N47">
            <v>1.3</v>
          </cell>
          <cell r="O47" t="str">
            <v>Cíclico/Industria</v>
          </cell>
          <cell r="P47" t="str">
            <v>Mayor volatilidad: priorizar entradas con señal clara (ruptura + volumen / pullback); stop amplio o tamaño menor.</v>
          </cell>
        </row>
        <row r="48">
          <cell r="I48" t="str">
            <v>HON</v>
          </cell>
          <cell r="J48" t="str">
            <v>NYSE</v>
          </cell>
          <cell r="K48">
            <v>0.54</v>
          </cell>
          <cell r="L48" t="str">
            <v>Largo</v>
          </cell>
          <cell r="M48" t="str">
            <v>2–6</v>
          </cell>
          <cell r="N48">
            <v>1.1000000000000001</v>
          </cell>
          <cell r="O48" t="str">
            <v>Cíclico/Industria</v>
          </cell>
          <cell r="P48" t="str">
            <v>Mayor volatilidad: priorizar entradas con señal clara (ruptura + volumen / pullback); stop amplio o tamaño menor.</v>
          </cell>
        </row>
        <row r="49">
          <cell r="I49" t="str">
            <v>IAG</v>
          </cell>
          <cell r="J49" t="str">
            <v>BME</v>
          </cell>
          <cell r="K49">
            <v>0.54</v>
          </cell>
          <cell r="L49" t="str">
            <v>Neutral</v>
          </cell>
          <cell r="M49" t="str">
            <v>2–6</v>
          </cell>
          <cell r="N49">
            <v>1.6</v>
          </cell>
          <cell r="O49" t="str">
            <v>Cíclico/Industria</v>
          </cell>
          <cell r="P49" t="str">
            <v>Mayor volatilidad: priorizar entradas con señal clara (ruptura + volumen / pullback); stop amplio o tamaño menor.</v>
          </cell>
        </row>
        <row r="50">
          <cell r="I50" t="str">
            <v>MEL</v>
          </cell>
          <cell r="J50" t="str">
            <v>BME</v>
          </cell>
          <cell r="K50">
            <v>0.54</v>
          </cell>
          <cell r="L50" t="str">
            <v>Largo</v>
          </cell>
          <cell r="M50" t="str">
            <v>2–6</v>
          </cell>
          <cell r="N50">
            <v>1.4</v>
          </cell>
          <cell r="O50" t="str">
            <v>Cíclico/Industria</v>
          </cell>
          <cell r="P50" t="str">
            <v>Mayor volatilidad: priorizar entradas con señal clara (ruptura + volumen / pullback); stop amplio o tamaño menor.</v>
          </cell>
        </row>
        <row r="51">
          <cell r="I51" t="str">
            <v>MT</v>
          </cell>
          <cell r="J51" t="str">
            <v>NYSE</v>
          </cell>
          <cell r="K51">
            <v>0.54</v>
          </cell>
          <cell r="L51" t="str">
            <v>Largo</v>
          </cell>
          <cell r="M51" t="str">
            <v>2–6</v>
          </cell>
          <cell r="N51">
            <v>1.5</v>
          </cell>
          <cell r="O51" t="str">
            <v>Cíclico/Industria</v>
          </cell>
          <cell r="P51" t="str">
            <v>Mayor volatilidad: priorizar entradas con señal clara (ruptura + volumen / pullback); stop amplio o tamaño menor.</v>
          </cell>
        </row>
        <row r="52">
          <cell r="I52" t="str">
            <v>TKA</v>
          </cell>
          <cell r="J52" t="str">
            <v>XETR</v>
          </cell>
          <cell r="K52">
            <v>0.54</v>
          </cell>
          <cell r="L52" t="str">
            <v>Neutral</v>
          </cell>
          <cell r="M52" t="str">
            <v>2–6</v>
          </cell>
          <cell r="N52">
            <v>1.5</v>
          </cell>
          <cell r="O52" t="str">
            <v>Cíclico/Industria</v>
          </cell>
          <cell r="P52" t="str">
            <v>Mayor volatilidad: priorizar entradas con señal clara (ruptura + volumen / pullback); stop amplio o tamaño menor.</v>
          </cell>
        </row>
        <row r="53">
          <cell r="I53" t="str">
            <v>VOW3</v>
          </cell>
          <cell r="J53" t="str">
            <v>XETR</v>
          </cell>
          <cell r="K53">
            <v>0.54</v>
          </cell>
          <cell r="L53" t="str">
            <v>Largo</v>
          </cell>
          <cell r="M53" t="str">
            <v>2–6</v>
          </cell>
          <cell r="N53">
            <v>1.3</v>
          </cell>
          <cell r="O53" t="str">
            <v>Cíclico/Industria</v>
          </cell>
          <cell r="P53" t="str">
            <v>Mayor volatilidad: priorizar entradas con señal clara (ruptura + volumen / pullback); stop amplio o tamaño menor.</v>
          </cell>
        </row>
        <row r="54">
          <cell r="I54" t="str">
            <v>ABI</v>
          </cell>
          <cell r="J54" t="str">
            <v>EBR</v>
          </cell>
          <cell r="K54">
            <v>0.5</v>
          </cell>
          <cell r="L54" t="str">
            <v>Neutral</v>
          </cell>
          <cell r="M54" t="str">
            <v>2–5</v>
          </cell>
          <cell r="N54">
            <v>1.5</v>
          </cell>
          <cell r="O54" t="str">
            <v>Small/Mid cap</v>
          </cell>
          <cell r="P54" t="str">
            <v>Riesgo de liquidez/gaps: usar órdenes limitadas, tamaño pequeño y stops estrictos; evitar mantener en resultados.</v>
          </cell>
        </row>
        <row r="55">
          <cell r="I55" t="str">
            <v>ALM</v>
          </cell>
          <cell r="J55" t="str">
            <v>BME</v>
          </cell>
          <cell r="K55">
            <v>0.5</v>
          </cell>
          <cell r="L55" t="str">
            <v>Neutral</v>
          </cell>
          <cell r="M55" t="str">
            <v>2–5</v>
          </cell>
          <cell r="N55">
            <v>1.5</v>
          </cell>
          <cell r="O55" t="str">
            <v>Small/Mid cap</v>
          </cell>
          <cell r="P55" t="str">
            <v>Riesgo de liquidez/gaps: usar órdenes limitadas, tamaño pequeño y stops estrictos; evitar mantener en resultados.</v>
          </cell>
        </row>
        <row r="56">
          <cell r="I56" t="str">
            <v>BAESY</v>
          </cell>
          <cell r="J56" t="str">
            <v>OTC</v>
          </cell>
          <cell r="K56">
            <v>0.5</v>
          </cell>
          <cell r="L56" t="str">
            <v>Neutral</v>
          </cell>
          <cell r="M56" t="str">
            <v>2–5</v>
          </cell>
          <cell r="N56">
            <v>1.5</v>
          </cell>
          <cell r="O56" t="str">
            <v>Small/Mid cap</v>
          </cell>
          <cell r="P56" t="str">
            <v>Riesgo de liquidez/gaps: usar órdenes limitadas, tamaño pequeño y stops estrictos; evitar mantener en resultados.</v>
          </cell>
        </row>
        <row r="57">
          <cell r="I57" t="str">
            <v>BSP</v>
          </cell>
          <cell r="J57" t="str">
            <v>BME</v>
          </cell>
          <cell r="K57">
            <v>0.5</v>
          </cell>
          <cell r="L57" t="str">
            <v>Neutral</v>
          </cell>
          <cell r="M57" t="str">
            <v>2–5</v>
          </cell>
          <cell r="N57">
            <v>1.5</v>
          </cell>
          <cell r="O57" t="str">
            <v>Small/Mid cap</v>
          </cell>
          <cell r="P57" t="str">
            <v>Riesgo de liquidez/gaps: usar órdenes limitadas, tamaño pequeño y stops estrictos; evitar mantener en resultados.</v>
          </cell>
        </row>
        <row r="58">
          <cell r="I58" t="str">
            <v>CASH</v>
          </cell>
          <cell r="J58" t="str">
            <v>BME</v>
          </cell>
          <cell r="K58">
            <v>0.5</v>
          </cell>
          <cell r="L58" t="str">
            <v>Neutral</v>
          </cell>
          <cell r="M58" t="str">
            <v>2–5</v>
          </cell>
          <cell r="N58">
            <v>1.5</v>
          </cell>
          <cell r="O58" t="str">
            <v>Small/Mid cap</v>
          </cell>
          <cell r="P58" t="str">
            <v>Riesgo de liquidez/gaps: usar órdenes limitadas, tamaño pequeño y stops estrictos; evitar mantener en resultados.</v>
          </cell>
        </row>
        <row r="59">
          <cell r="I59" t="str">
            <v>CIRSA</v>
          </cell>
          <cell r="J59" t="str">
            <v>BME</v>
          </cell>
          <cell r="K59">
            <v>0.5</v>
          </cell>
          <cell r="L59" t="str">
            <v>Neutral</v>
          </cell>
          <cell r="M59" t="str">
            <v>2–5</v>
          </cell>
          <cell r="N59">
            <v>1.5</v>
          </cell>
          <cell r="O59" t="str">
            <v>Small/Mid cap</v>
          </cell>
          <cell r="P59" t="str">
            <v>Riesgo de liquidez/gaps: usar órdenes limitadas, tamaño pequeño y stops estrictos; evitar mantener en resultados.</v>
          </cell>
        </row>
        <row r="60">
          <cell r="I60" t="str">
            <v>GRE</v>
          </cell>
          <cell r="J60" t="str">
            <v>BME</v>
          </cell>
          <cell r="K60">
            <v>0.5</v>
          </cell>
          <cell r="L60" t="str">
            <v>Neutral</v>
          </cell>
          <cell r="M60" t="str">
            <v>2–5</v>
          </cell>
          <cell r="N60">
            <v>1.5</v>
          </cell>
          <cell r="O60" t="str">
            <v>Small/Mid cap</v>
          </cell>
          <cell r="P60" t="str">
            <v>Riesgo de liquidez/gaps: usar órdenes limitadas, tamaño pequeño y stops estrictos; evitar mantener en resultados.</v>
          </cell>
        </row>
        <row r="61">
          <cell r="I61" t="str">
            <v>HOME</v>
          </cell>
          <cell r="J61" t="str">
            <v>BME</v>
          </cell>
          <cell r="K61">
            <v>0.5</v>
          </cell>
          <cell r="L61" t="str">
            <v>Neutral</v>
          </cell>
          <cell r="M61" t="str">
            <v>2–5</v>
          </cell>
          <cell r="N61">
            <v>1.5</v>
          </cell>
          <cell r="O61" t="str">
            <v>Small/Mid cap</v>
          </cell>
          <cell r="P61" t="str">
            <v>Riesgo de liquidez/gaps: usar órdenes limitadas, tamaño pequeño y stops estrictos; evitar mantener en resultados.</v>
          </cell>
        </row>
        <row r="62">
          <cell r="I62" t="str">
            <v>IDR</v>
          </cell>
          <cell r="J62" t="str">
            <v>BME</v>
          </cell>
          <cell r="K62">
            <v>0.5</v>
          </cell>
          <cell r="L62" t="str">
            <v>Neutral</v>
          </cell>
          <cell r="M62" t="str">
            <v>2–5</v>
          </cell>
          <cell r="N62">
            <v>1.5</v>
          </cell>
          <cell r="O62" t="str">
            <v>Small/Mid cap</v>
          </cell>
          <cell r="P62" t="str">
            <v>Riesgo de liquidez/gaps: usar órdenes limitadas, tamaño pequeño y stops estrictos; evitar mantener en resultados.</v>
          </cell>
        </row>
        <row r="63">
          <cell r="I63" t="str">
            <v>LDA</v>
          </cell>
          <cell r="J63" t="str">
            <v>BME</v>
          </cell>
          <cell r="K63">
            <v>0.5</v>
          </cell>
          <cell r="L63" t="str">
            <v>Neutral</v>
          </cell>
          <cell r="M63" t="str">
            <v>2–5</v>
          </cell>
          <cell r="N63">
            <v>1.5</v>
          </cell>
          <cell r="O63" t="str">
            <v>Small/Mid cap</v>
          </cell>
          <cell r="P63" t="str">
            <v>Riesgo de liquidez/gaps: usar órdenes limitadas, tamaño pequeño y stops estrictos; evitar mantener en resultados.</v>
          </cell>
        </row>
        <row r="64">
          <cell r="I64" t="str">
            <v>LINDEINDIA</v>
          </cell>
          <cell r="J64" t="str">
            <v>NSE</v>
          </cell>
          <cell r="K64">
            <v>0.5</v>
          </cell>
          <cell r="L64" t="str">
            <v>Neutral</v>
          </cell>
          <cell r="M64" t="str">
            <v>2–5</v>
          </cell>
          <cell r="N64">
            <v>1.5</v>
          </cell>
          <cell r="O64" t="str">
            <v>Small/Mid cap</v>
          </cell>
          <cell r="P64" t="str">
            <v>Riesgo de liquidez/gaps: usar órdenes limitadas, tamaño pequeño y stops estrictos; evitar mantener en resultados.</v>
          </cell>
        </row>
        <row r="65">
          <cell r="I65" t="str">
            <v>MAP</v>
          </cell>
          <cell r="J65" t="str">
            <v>BME</v>
          </cell>
          <cell r="K65">
            <v>0.5</v>
          </cell>
          <cell r="L65" t="str">
            <v>Neutral</v>
          </cell>
          <cell r="M65" t="str">
            <v>2–5</v>
          </cell>
          <cell r="N65">
            <v>1.5</v>
          </cell>
          <cell r="O65" t="str">
            <v>Small/Mid cap</v>
          </cell>
          <cell r="P65" t="str">
            <v>Riesgo de liquidez/gaps: usar órdenes limitadas, tamaño pequeño y stops estrictos; evitar mantener en resultados.</v>
          </cell>
        </row>
        <row r="66">
          <cell r="I66" t="str">
            <v>MGT</v>
          </cell>
          <cell r="J66" t="str">
            <v>BME</v>
          </cell>
          <cell r="K66">
            <v>0.5</v>
          </cell>
          <cell r="L66" t="str">
            <v>Neutral</v>
          </cell>
          <cell r="M66" t="str">
            <v>2–5</v>
          </cell>
          <cell r="N66">
            <v>1.5</v>
          </cell>
          <cell r="O66" t="str">
            <v>Small/Mid cap</v>
          </cell>
          <cell r="P66" t="str">
            <v>Riesgo de liquidez/gaps: usar órdenes limitadas, tamaño pequeño y stops estrictos; evitar mantener en resultados.</v>
          </cell>
        </row>
        <row r="67">
          <cell r="I67" t="str">
            <v>MRL</v>
          </cell>
          <cell r="J67" t="str">
            <v>BME</v>
          </cell>
          <cell r="K67">
            <v>0.5</v>
          </cell>
          <cell r="L67" t="str">
            <v>Neutral</v>
          </cell>
          <cell r="M67" t="str">
            <v>2–5</v>
          </cell>
          <cell r="N67">
            <v>1.5</v>
          </cell>
          <cell r="O67" t="str">
            <v>Small/Mid cap</v>
          </cell>
          <cell r="P67" t="str">
            <v>Riesgo de liquidez/gaps: usar órdenes limitadas, tamaño pequeño y stops estrictos; evitar mantener en resultados.</v>
          </cell>
        </row>
        <row r="68">
          <cell r="I68" t="str">
            <v>MTX</v>
          </cell>
          <cell r="J68" t="str">
            <v>BME</v>
          </cell>
          <cell r="K68">
            <v>0.5</v>
          </cell>
          <cell r="L68" t="str">
            <v>Neutral</v>
          </cell>
          <cell r="M68" t="str">
            <v>2–5</v>
          </cell>
          <cell r="N68">
            <v>1.5</v>
          </cell>
          <cell r="O68" t="str">
            <v>Small/Mid cap</v>
          </cell>
          <cell r="P68" t="str">
            <v>Riesgo de liquidez/gaps: usar órdenes limitadas, tamaño pequeño y stops estrictos; evitar mantener en resultados.</v>
          </cell>
        </row>
        <row r="69">
          <cell r="I69" t="str">
            <v>NVGS</v>
          </cell>
          <cell r="J69" t="str">
            <v>BME</v>
          </cell>
          <cell r="K69">
            <v>0.5</v>
          </cell>
          <cell r="L69" t="str">
            <v>Neutral</v>
          </cell>
          <cell r="M69" t="str">
            <v>2–5</v>
          </cell>
          <cell r="N69">
            <v>1.5</v>
          </cell>
          <cell r="O69" t="str">
            <v>Small/Mid cap</v>
          </cell>
          <cell r="P69" t="str">
            <v>Riesgo de liquidez/gaps: usar órdenes limitadas, tamaño pequeño y stops estrictos; evitar mantener en resultados.</v>
          </cell>
        </row>
        <row r="70">
          <cell r="I70" t="str">
            <v>ROVI</v>
          </cell>
          <cell r="J70" t="str">
            <v>BME</v>
          </cell>
          <cell r="K70">
            <v>0.5</v>
          </cell>
          <cell r="L70" t="str">
            <v>Neutral</v>
          </cell>
          <cell r="M70" t="str">
            <v>2–5</v>
          </cell>
          <cell r="N70">
            <v>1.5</v>
          </cell>
          <cell r="O70" t="str">
            <v>Small/Mid cap</v>
          </cell>
          <cell r="P70" t="str">
            <v>Riesgo de liquidez/gaps: usar órdenes limitadas, tamaño pequeño y stops estrictos; evitar mantener en resultados.</v>
          </cell>
        </row>
        <row r="71">
          <cell r="I71" t="str">
            <v>RR</v>
          </cell>
          <cell r="J71" t="str">
            <v>LSE</v>
          </cell>
          <cell r="K71">
            <v>0.5</v>
          </cell>
          <cell r="L71" t="str">
            <v>Neutral</v>
          </cell>
          <cell r="M71" t="str">
            <v>2–5</v>
          </cell>
          <cell r="N71">
            <v>1.5</v>
          </cell>
          <cell r="O71" t="str">
            <v>Small/Mid cap</v>
          </cell>
          <cell r="P71" t="str">
            <v>Riesgo de liquidez/gaps: usar órdenes limitadas, tamaño pequeño y stops estrictos; evitar mantener en resultados.</v>
          </cell>
        </row>
        <row r="72">
          <cell r="I72" t="str">
            <v>SAP</v>
          </cell>
          <cell r="J72" t="str">
            <v>XETR</v>
          </cell>
          <cell r="K72">
            <v>0.5</v>
          </cell>
          <cell r="L72" t="str">
            <v>Neutral</v>
          </cell>
          <cell r="M72" t="str">
            <v>2–5</v>
          </cell>
          <cell r="N72">
            <v>1.5</v>
          </cell>
          <cell r="O72" t="str">
            <v>Small/Mid cap</v>
          </cell>
          <cell r="P72" t="str">
            <v>Riesgo de liquidez/gaps: usar órdenes limitadas, tamaño pequeño y stops estrictos; evitar mantener en resultados.</v>
          </cell>
        </row>
        <row r="73">
          <cell r="I73" t="str">
            <v>SCYR</v>
          </cell>
          <cell r="J73" t="str">
            <v>BME</v>
          </cell>
          <cell r="K73">
            <v>0.5</v>
          </cell>
          <cell r="L73" t="str">
            <v>Neutral</v>
          </cell>
          <cell r="M73" t="str">
            <v>2–5</v>
          </cell>
          <cell r="N73">
            <v>1.5</v>
          </cell>
          <cell r="O73" t="str">
            <v>Small/Mid cap</v>
          </cell>
          <cell r="P73" t="str">
            <v>Riesgo de liquidez/gaps: usar órdenes limitadas, tamaño pequeño y stops estrictos; evitar mantener en resultados.</v>
          </cell>
        </row>
        <row r="74">
          <cell r="I74" t="str">
            <v>SLR</v>
          </cell>
          <cell r="J74" t="str">
            <v>BME</v>
          </cell>
          <cell r="K74">
            <v>0.5</v>
          </cell>
          <cell r="L74" t="str">
            <v>Neutral</v>
          </cell>
          <cell r="M74" t="str">
            <v>2–5</v>
          </cell>
          <cell r="N74">
            <v>1.5</v>
          </cell>
          <cell r="O74" t="str">
            <v>Small/Mid cap</v>
          </cell>
          <cell r="P74" t="str">
            <v>Riesgo de liquidez/gaps: usar órdenes limitadas, tamaño pequeño y stops estrictos; evitar mantener en resultados.</v>
          </cell>
        </row>
        <row r="75">
          <cell r="I75" t="str">
            <v>SND</v>
          </cell>
          <cell r="J75" t="str">
            <v>BME</v>
          </cell>
          <cell r="K75">
            <v>0.5</v>
          </cell>
          <cell r="L75" t="str">
            <v>Neutral</v>
          </cell>
          <cell r="M75" t="str">
            <v>2–5</v>
          </cell>
          <cell r="N75">
            <v>1.5</v>
          </cell>
          <cell r="O75" t="str">
            <v>Small/Mid cap</v>
          </cell>
          <cell r="P75" t="str">
            <v>Riesgo de liquidez/gaps: usar órdenes limitadas, tamaño pequeño y stops estrictos; evitar mantener en resultados.</v>
          </cell>
        </row>
        <row r="76">
          <cell r="I76" t="str">
            <v>SQRL</v>
          </cell>
          <cell r="J76" t="str">
            <v>BME</v>
          </cell>
          <cell r="K76">
            <v>0.5</v>
          </cell>
          <cell r="L76" t="str">
            <v>Neutral</v>
          </cell>
          <cell r="M76" t="str">
            <v>2–5</v>
          </cell>
          <cell r="N76">
            <v>1.5</v>
          </cell>
          <cell r="O76" t="str">
            <v>Small/Mid cap</v>
          </cell>
          <cell r="P76" t="str">
            <v>Riesgo de liquidez/gaps: usar órdenes limitadas, tamaño pequeño y stops estrictos; evitar mantener en resultados.</v>
          </cell>
        </row>
        <row r="77">
          <cell r="I77" t="str">
            <v>TEF</v>
          </cell>
          <cell r="J77" t="str">
            <v>BME</v>
          </cell>
          <cell r="K77">
            <v>0.5</v>
          </cell>
          <cell r="L77" t="str">
            <v>Neutral</v>
          </cell>
          <cell r="M77" t="str">
            <v>2–5</v>
          </cell>
          <cell r="N77">
            <v>1.5</v>
          </cell>
          <cell r="O77" t="str">
            <v>Small/Mid cap</v>
          </cell>
          <cell r="P77" t="str">
            <v>Riesgo de liquidez/gaps: usar órdenes limitadas, tamaño pequeño y stops estrictos; evitar mantener en resultados.</v>
          </cell>
        </row>
        <row r="78">
          <cell r="I78" t="str">
            <v>TRE</v>
          </cell>
          <cell r="J78" t="str">
            <v>BME</v>
          </cell>
          <cell r="K78">
            <v>0.5</v>
          </cell>
          <cell r="L78" t="str">
            <v>Neutral</v>
          </cell>
          <cell r="M78" t="str">
            <v>2–5</v>
          </cell>
          <cell r="N78">
            <v>1.5</v>
          </cell>
          <cell r="O78" t="str">
            <v>Small/Mid cap</v>
          </cell>
          <cell r="P78" t="str">
            <v>Riesgo de liquidez/gaps: usar órdenes limitadas, tamaño pequeño y stops estrictos; evitar mantener en resultados.</v>
          </cell>
        </row>
        <row r="79">
          <cell r="I79" t="str">
            <v>TUB</v>
          </cell>
          <cell r="J79" t="str">
            <v>BME</v>
          </cell>
          <cell r="K79">
            <v>0.5</v>
          </cell>
          <cell r="L79" t="str">
            <v>Neutral</v>
          </cell>
          <cell r="M79" t="str">
            <v>2–5</v>
          </cell>
          <cell r="N79">
            <v>1.5</v>
          </cell>
          <cell r="O79" t="str">
            <v>Small/Mid cap</v>
          </cell>
          <cell r="P79" t="str">
            <v>Riesgo de liquidez/gaps: usar órdenes limitadas, tamaño pequeño y stops estrictos; evitar mantener en resultados.</v>
          </cell>
        </row>
        <row r="80">
          <cell r="I80" t="str">
            <v>UNI</v>
          </cell>
          <cell r="J80" t="str">
            <v>BME</v>
          </cell>
          <cell r="K80">
            <v>0.5</v>
          </cell>
          <cell r="L80" t="str">
            <v>Neutral</v>
          </cell>
          <cell r="M80" t="str">
            <v>2–5</v>
          </cell>
          <cell r="N80">
            <v>1.5</v>
          </cell>
          <cell r="O80" t="str">
            <v>Small/Mid cap</v>
          </cell>
          <cell r="P80" t="str">
            <v>Riesgo de liquidez/gaps: usar órdenes limitadas, tamaño pequeño y stops estrictos; evitar mantener en resultados.</v>
          </cell>
        </row>
        <row r="81">
          <cell r="I81" t="str">
            <v>V</v>
          </cell>
          <cell r="J81" t="str">
            <v>NYSE</v>
          </cell>
          <cell r="K81">
            <v>0.5</v>
          </cell>
          <cell r="L81" t="str">
            <v>Neutral</v>
          </cell>
          <cell r="M81" t="str">
            <v>2–5</v>
          </cell>
          <cell r="N81">
            <v>1.5</v>
          </cell>
          <cell r="O81" t="str">
            <v>Small/Mid cap</v>
          </cell>
          <cell r="P81" t="str">
            <v>Riesgo de liquidez/gaps: usar órdenes limitadas, tamaño pequeño y stops estrictos; evitar mantener en resultados.</v>
          </cell>
        </row>
        <row r="82">
          <cell r="I82" t="str">
            <v>DIA</v>
          </cell>
          <cell r="J82" t="str">
            <v>BME</v>
          </cell>
          <cell r="K82">
            <v>0.48</v>
          </cell>
          <cell r="L82" t="str">
            <v>Bajista</v>
          </cell>
          <cell r="M82" t="str">
            <v>2–5</v>
          </cell>
          <cell r="N82">
            <v>1.5</v>
          </cell>
          <cell r="O82" t="str">
            <v>Small/Mid cap</v>
          </cell>
          <cell r="P82" t="str">
            <v>Riesgo de liquidez/gaps: usar órdenes limitadas, tamaño pequeño y stops estrictos; evitar mantener en resultados.</v>
          </cell>
        </row>
        <row r="83">
          <cell r="I83" t="str">
            <v>OHLA</v>
          </cell>
          <cell r="J83" t="str">
            <v>BME</v>
          </cell>
          <cell r="K83">
            <v>0.48</v>
          </cell>
          <cell r="L83" t="str">
            <v>Bajista</v>
          </cell>
          <cell r="M83" t="str">
            <v>2–5</v>
          </cell>
          <cell r="N83">
            <v>1.5</v>
          </cell>
          <cell r="O83" t="str">
            <v>Small/Mid cap</v>
          </cell>
          <cell r="P83" t="str">
            <v>Riesgo de liquidez/gaps: usar órdenes limitadas, tamaño pequeño y stops estrictos; evitar mantener en resultados.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%20book%20v2-DESKTOP-DGNAOIQ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Swing_Trading_82_Tickers_PE_SL_TP_Fase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39.414308449072" createdVersion="8" refreshedVersion="8" minRefreshableVersion="3" recordCount="112" xr:uid="{8760B806-B590-45CD-B49F-81B35969FCA0}">
  <cacheSource type="worksheet">
    <worksheetSource name="DataTable" r:id="rId2"/>
  </cacheSource>
  <cacheFields count="39">
    <cacheField name="#" numFmtId="170">
      <sharedItems containsString="0" containsBlank="1" containsNumber="1" containsInteger="1" minValue="1" maxValue="36"/>
    </cacheField>
    <cacheField name="Ticker" numFmtId="0">
      <sharedItems containsBlank="1" count="112">
        <s v="1RHM1"/>
        <s v="1RHM"/>
        <s v="ABIN1"/>
        <s v="ABIN"/>
        <s v="ACX"/>
        <s v="AIR:FP1"/>
        <s v="AIR:FP"/>
        <s v="AIR:NYSE2"/>
        <s v="AIR:NYSE"/>
        <s v="ALM"/>
        <s v="AMP1"/>
        <s v="AMP"/>
        <s v="AMS"/>
        <s v="AMZN"/>
        <s v="BA"/>
        <s v="ASML1"/>
        <s v="ASML"/>
        <s v="ALC"/>
        <s v="BAESY1"/>
        <s v="BAESY"/>
        <s v="BBVA"/>
        <s v="BBVA1"/>
        <s v="BKT"/>
        <s v="BSP1"/>
        <s v="BSP"/>
        <s v="CABK"/>
        <s v="CASH1"/>
        <s v="CASH2"/>
        <s v="CASH3"/>
        <s v="CASH"/>
        <s v="CIRSA"/>
        <s v="CRWD1"/>
        <s v="CRWD2"/>
        <s v="CRWD"/>
        <s v="DIA"/>
        <s v="DDOG"/>
        <s v="ELE1"/>
        <s v="ELE"/>
        <s v="EBRO1"/>
        <s v="EBRO"/>
        <s v="ENG1"/>
        <s v="ENG"/>
        <s v="ETN"/>
        <s v="FER1"/>
        <s v="FER"/>
        <s v="GD"/>
        <s v="GOOGL"/>
        <s v="GRE1"/>
        <s v="GRE"/>
        <s v="HAG"/>
        <s v="HII"/>
        <s v="HOME"/>
        <s v="HON1"/>
        <s v="HON"/>
        <s v="IAG"/>
        <s v="IBE"/>
        <s v="IDR1"/>
        <s v="IDR"/>
        <s v="LDA1"/>
        <s v="LDA"/>
        <s v="LDO"/>
        <s v="LHX"/>
        <s v="LLY"/>
        <s v="LMT"/>
        <s v="MAP"/>
        <s v="MEL1"/>
        <s v="MEL"/>
        <s v="META1"/>
        <s v="META"/>
        <s v="MGT"/>
        <s v="MRL"/>
        <s v="MSFT"/>
        <s v="MT"/>
        <s v="MTX"/>
        <s v="NOC"/>
        <s v="NTGY2"/>
        <s v="NTGY1"/>
        <s v="NTGY3"/>
        <s v="NTGY"/>
        <s v="NVDA"/>
        <s v="NVGS"/>
        <s v="OHLA1"/>
        <s v="OHLA"/>
        <s v="PLTR"/>
        <s v="PLTR1"/>
        <s v="REP"/>
        <s v="ROVI"/>
        <s v="RR."/>
        <s v="RTX1"/>
        <s v="RTX"/>
        <s v="SAAB_B"/>
        <s v="SAB"/>
        <s v="SAN1"/>
        <s v="SAN"/>
        <s v="SCYR"/>
        <s v="SLR"/>
        <s v="SND"/>
        <s v="SPX"/>
        <s v="SQRL"/>
        <s v="TEF1"/>
        <s v="TEF2"/>
        <s v="TEF"/>
        <s v="THYSSENKRUPP"/>
        <s v="TUB"/>
        <s v="V1"/>
        <s v="V"/>
        <s v="VOW1"/>
        <s v="VOW"/>
        <s v="UNI1"/>
        <s v="UNI"/>
        <s v="OHLA Limite" u="1"/>
        <m u="1"/>
      </sharedItems>
    </cacheField>
    <cacheField name="Success" numFmtId="170">
      <sharedItems containsMixedTypes="1" containsNumber="1" minValue="0.48" maxValue="0.66"/>
    </cacheField>
    <cacheField name="Ammount" numFmtId="44">
      <sharedItems containsSemiMixedTypes="0" containsString="0" containsNumber="1" minValue="834.92499999999995" maxValue="10138.4"/>
    </cacheField>
    <cacheField name="date plan" numFmtId="166">
      <sharedItems containsSemiMixedTypes="0" containsNonDate="0" containsDate="1" containsString="0" minDate="2025-11-21T00:00:00" maxDate="2026-01-17T00:00:00"/>
    </cacheField>
    <cacheField name="Status" numFmtId="0">
      <sharedItems containsBlank="1" count="5">
        <s v="Close"/>
        <s v="Plan"/>
        <s v="Open"/>
        <s v="OpenPending" u="1"/>
        <m u="1"/>
      </sharedItems>
    </cacheField>
    <cacheField name="Trend" numFmtId="169">
      <sharedItems containsMixedTypes="1" containsNumber="1" minValue="-2.9486869030879648E-2" maxValue="1.7324514068646567E-2"/>
    </cacheField>
    <cacheField name="date actual" numFmtId="0">
      <sharedItems containsNonDate="0" containsDate="1" containsString="0" containsBlank="1" minDate="2025-11-18T00:00:00" maxDate="2026-01-17T00:00:00" count="24">
        <d v="2025-12-10T00:00:00"/>
        <m/>
        <d v="2026-01-05T00:00:00"/>
        <d v="2025-12-05T00:00:00"/>
        <d v="2025-11-19T00:00:00"/>
        <d v="2025-11-24T00:00:00"/>
        <d v="2025-12-31T00:00:00"/>
        <d v="2025-12-30T00:00:00"/>
        <d v="2025-11-18T00:00:00"/>
        <d v="2026-01-11T00:00:00"/>
        <d v="2026-01-12T00:00:00"/>
        <d v="2026-01-14T00:00:00"/>
        <d v="2026-01-16T00:00:00"/>
        <d v="2026-01-08T00:00:00"/>
        <d v="2026-01-13T00:00:00"/>
        <d v="2025-12-16T00:00:00"/>
        <d v="2025-12-15T00:00:00"/>
        <d v="2025-11-28T00:00:00"/>
        <d v="2025-11-26T00:00:00"/>
        <d v="2026-01-02T00:00:00"/>
        <d v="2026-01-07T00:00:00"/>
        <d v="2025-12-08T00:00:00"/>
        <d v="2025-11-25T00:00:00"/>
        <d v="2025-11-21T00:00:00"/>
      </sharedItems>
      <fieldGroup par="38"/>
    </cacheField>
    <cacheField name="delta" numFmtId="171">
      <sharedItems containsMixedTypes="1" containsNumber="1" containsInteger="1" minValue="-14" maxValue="22"/>
    </cacheField>
    <cacheField name="PE" numFmtId="172">
      <sharedItems containsSemiMixedTypes="0" containsString="0" containsNumber="1" minValue="0.1336" maxValue="6675"/>
    </cacheField>
    <cacheField name="SL" numFmtId="172">
      <sharedItems containsSemiMixedTypes="0" containsString="0" containsNumber="1" minValue="0.125" maxValue="6520"/>
    </cacheField>
    <cacheField name="TP" numFmtId="172">
      <sharedItems containsSemiMixedTypes="0" containsString="0" containsNumber="1" minValue="0.14899999999999999" maxValue="7245"/>
    </cacheField>
    <cacheField name="Units" numFmtId="173">
      <sharedItems containsSemiMixedTypes="0" containsString="0" containsNumber="1" containsInteger="1" minValue="1" maxValue="7485"/>
    </cacheField>
    <cacheField name="Date SL" numFmtId="166">
      <sharedItems containsNonDate="0" containsDate="1" containsString="0" containsBlank="1" minDate="2025-11-28T00:00:00" maxDate="2026-01-17T00:00:00" count="15">
        <m/>
        <d v="2025-12-08T00:00:00"/>
        <d v="2026-01-12T00:00:00"/>
        <d v="2026-01-13T00:00:00"/>
        <d v="2026-01-02T00:00:00"/>
        <d v="2026-01-16T00:00:00"/>
        <d v="2026-01-09T00:00:00"/>
        <d v="2025-12-19T00:00:00"/>
        <d v="2025-12-23T00:00:00"/>
        <d v="2026-01-05T00:00:00"/>
        <d v="2026-01-15T00:00:00"/>
        <d v="2026-01-14T00:00:00"/>
        <d v="2025-12-10T00:00:00"/>
        <d v="2025-11-28T00:00:00"/>
        <d v="2025-12-16T00:00:00"/>
      </sharedItems>
      <fieldGroup par="35"/>
    </cacheField>
    <cacheField name="delta SL" numFmtId="171">
      <sharedItems containsBlank="1" containsMixedTypes="1" containsNumber="1" containsInteger="1" minValue="0" maxValue="22" count="14">
        <s v=""/>
        <n v="20"/>
        <n v="1"/>
        <n v="3"/>
        <n v="4"/>
        <n v="5"/>
        <n v="8"/>
        <n v="0"/>
        <n v="10"/>
        <n v="7"/>
        <n v="16"/>
        <m/>
        <n v="22"/>
        <n v="2"/>
      </sharedItems>
    </cacheField>
    <cacheField name="Close SL Abs" numFmtId="8">
      <sharedItems containsBlank="1" containsMixedTypes="1" containsNumber="1" minValue="-68.678000000000054" maxValue="-3.2400000000001228"/>
    </cacheField>
    <cacheField name="Close SL %" numFmtId="174">
      <sharedItems containsBlank="1" containsMixedTypes="1" containsNumber="1" minValue="-6.9069069069069122E-2" maxValue="-3.2822757111598613E-3"/>
    </cacheField>
    <cacheField name="Risk Abs" numFmtId="8">
      <sharedItems containsSemiMixedTypes="0" containsString="0" containsNumber="1" minValue="-326.80000000000086" maxValue="4.6800000000000619"/>
    </cacheField>
    <cacheField name="Risk %" numFmtId="174">
      <sharedItems containsSemiMixedTypes="0" containsString="0" containsNumber="1" minValue="-0.2193460490463216" maxValue="5.2941176470588935E-3"/>
    </cacheField>
    <cacheField name="Date TP" numFmtId="166">
      <sharedItems containsNonDate="0" containsDate="1" containsString="0" containsBlank="1" minDate="2025-12-10T00:00:00" maxDate="2026-01-15T00:00:00" count="12">
        <d v="2026-01-12T00:00:00"/>
        <m/>
        <d v="2026-01-14T00:00:00"/>
        <d v="2026-01-13T00:00:00"/>
        <d v="2025-12-23T00:00:00"/>
        <d v="2026-01-08T00:00:00"/>
        <d v="2025-12-22T00:00:00"/>
        <d v="2025-12-24T00:00:00"/>
        <d v="2026-01-09T00:00:00"/>
        <d v="2025-12-10T00:00:00"/>
        <d v="2026-01-05T00:00:00"/>
        <d v="2025-12-16T00:00:00"/>
      </sharedItems>
    </cacheField>
    <cacheField name="delta TP" numFmtId="171">
      <sharedItems containsMixedTypes="1" containsNumber="1" containsInteger="1" minValue="1" maxValue="45" count="15">
        <n v="33"/>
        <s v=""/>
        <n v="9"/>
        <n v="39"/>
        <n v="40"/>
        <n v="34"/>
        <n v="12"/>
        <n v="29"/>
        <n v="26"/>
        <n v="4"/>
        <n v="43"/>
        <n v="16"/>
        <n v="1"/>
        <n v="45"/>
        <n v="22"/>
      </sharedItems>
    </cacheField>
    <cacheField name="Close PT Abs" numFmtId="8">
      <sharedItems containsMixedTypes="1" containsNumber="1" minValue="27.10000000000008" maxValue="339.02000000000004"/>
    </cacheField>
    <cacheField name="Close PT %" numFmtId="174">
      <sharedItems containsMixedTypes="1" containsNumber="1" minValue="2.8680283627897218E-2" maxValue="0.32567388422448079"/>
    </cacheField>
    <cacheField name="Profit Abs." numFmtId="44">
      <sharedItems containsSemiMixedTypes="0" containsString="0" containsNumber="1" minValue="19.319999999999993" maxValue="1020.2999999999987"/>
    </cacheField>
    <cacheField name="Profit %" numFmtId="174">
      <sharedItems containsSemiMixedTypes="0" containsString="0" containsNumber="1" minValue="8.5393258426966299E-4" maxValue="0.56282393591958524"/>
    </cacheField>
    <cacheField name="Ratio" numFmtId="165">
      <sharedItems containsSemiMixedTypes="0" containsString="0" containsNumber="1" minValue="-23.111111111110802" maxValue="19.249999999999975"/>
    </cacheField>
    <cacheField name="Latest Q" numFmtId="175">
      <sharedItems containsSemiMixedTypes="0" containsString="0" containsNumber="1" minValue="0.14899999999999999" maxValue="7185"/>
    </cacheField>
    <cacheField name=" @today" numFmtId="171">
      <sharedItems containsMixedTypes="1" containsNumber="1" containsInteger="1" minValue="1" maxValue="59"/>
    </cacheField>
    <cacheField name="LQ % to PE" numFmtId="174">
      <sharedItems containsMixedTypes="1" containsNumber="1" minValue="-1.4740540772164357E-2" maxValue="0.39870582379293196"/>
    </cacheField>
    <cacheField name="LQ % to SL" numFmtId="174">
      <sharedItems containsMixedTypes="1" containsNumber="1" minValue="1.120193763245525E-2" maxValue="0.45822522055007786"/>
    </cacheField>
    <cacheField name="LQ % to TP" numFmtId="174">
      <sharedItems containsMixedTypes="1" containsNumber="1" minValue="-0.40193960102507409" maxValue="0.2051762302060276"/>
    </cacheField>
    <cacheField name="TP/SL" numFmtId="165">
      <sharedItems containsMixedTypes="1" containsNumber="1" minValue="-0.58011707367877874" maxValue="33.051802576600416"/>
    </cacheField>
    <cacheField name="LQ  Abs to PE" numFmtId="8">
      <sharedItems containsMixedTypes="1" containsNumber="1" minValue="-72.019999999999968" maxValue="87.010000000000048"/>
    </cacheField>
    <cacheField name="LQ  % to PE" numFmtId="174">
      <sharedItems containsMixedTypes="1" containsNumber="1" minValue="-7.2022160664819923E-2" maxValue="8.619374523264689E-2"/>
    </cacheField>
    <cacheField name="Días (Date SL)" numFmtId="0" databaseField="0">
      <fieldGroup base="13">
        <rangePr groupBy="days" startDate="2025-11-28T00:00:00" endDate="2026-01-17T00:00:00"/>
        <groupItems count="368">
          <s v="&lt;28/1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7/01/2026"/>
        </groupItems>
      </fieldGroup>
    </cacheField>
    <cacheField name="Meses (Date SL)" numFmtId="0" databaseField="0">
      <fieldGroup base="13">
        <rangePr groupBy="months" startDate="2025-11-28T00:00:00" endDate="2026-01-17T00:00:00"/>
        <groupItems count="14">
          <s v="&lt;28/1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7/01/2026"/>
        </groupItems>
      </fieldGroup>
    </cacheField>
    <cacheField name="Meses (date actual)" numFmtId="0" databaseField="0">
      <fieldGroup base="7">
        <rangePr groupBy="months" startDate="2025-11-18T00:00:00" endDate="2026-01-17T00:00:00"/>
        <groupItems count="14">
          <s v="&lt;18/1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7/01/2026"/>
        </groupItems>
      </fieldGroup>
    </cacheField>
    <cacheField name="Trimestres (date actual)" numFmtId="0" databaseField="0">
      <fieldGroup base="7">
        <rangePr groupBy="quarters" startDate="2025-11-18T00:00:00" endDate="2026-01-17T00:00:00"/>
        <groupItems count="6">
          <s v="&lt;18/11/2025"/>
          <s v="Trim.1"/>
          <s v="Trim.2"/>
          <s v="Trim.3"/>
          <s v="Trim.4"/>
          <s v="&gt;17/01/2026"/>
        </groupItems>
      </fieldGroup>
    </cacheField>
    <cacheField name="Años (date actual)" numFmtId="0" databaseField="0">
      <fieldGroup base="7">
        <rangePr groupBy="years" startDate="2025-11-18T00:00:00" endDate="2026-01-17T00:00:00"/>
        <groupItems count="4">
          <s v="&lt;18/11/2025"/>
          <s v="2025"/>
          <s v="2026"/>
          <s v="&gt;17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05.486933680557" createdVersion="8" refreshedVersion="8" minRefreshableVersion="3" recordCount="58" xr:uid="{1569B595-5494-426A-8668-3C8203EF5577}">
  <cacheSource type="worksheet">
    <worksheetSource ref="A1:L59" sheet="Swing_82_PE_SL_TP" r:id="rId2"/>
  </cacheSource>
  <cacheFields count="12">
    <cacheField name="Ticker" numFmtId="0">
      <sharedItems count="58">
        <s v="NVDA"/>
        <s v="MSFT"/>
        <s v="META"/>
        <s v="GOOG"/>
        <s v="ASML"/>
        <s v="CRWD"/>
        <s v="NOW"/>
        <s v="DDOG"/>
        <s v="PLTR"/>
        <s v="AMZN"/>
        <s v="ETN"/>
        <s v="HON"/>
        <s v="SAP"/>
        <s v="V"/>
        <s v="LMT"/>
        <s v="NOC"/>
        <s v="RTX"/>
        <s v="FER.MC"/>
        <s v="IBE.MC"/>
        <s v="REP.MC"/>
        <s v="BBVA.MC"/>
        <s v="SAN.MC"/>
        <s v="CABK.MC"/>
        <s v="ROVI.MC"/>
        <s v="BKT.MC"/>
        <s v="NTGY.MC"/>
        <s v="SAB.MC"/>
        <s v="TEF.MC"/>
        <s v="ENG.MC"/>
        <s v="ELE.MC"/>
        <s v="EBRO.MC"/>
        <s v="MEL.MC"/>
        <s v="IDR.MC"/>
        <s v="ACX.MC"/>
        <s v="ALC"/>
        <s v="BA"/>
        <s v="PYPL"/>
        <s v="SQRL.MC"/>
        <s v="AIR.MC"/>
        <s v="AIR"/>
        <s v="MT"/>
        <s v="AMP.MC"/>
        <s v="VOW3.DE"/>
        <s v="ALMRY"/>
        <s v="OHLA.MC"/>
        <s v="TRE.MC"/>
        <s v="UNJCF"/>
        <s v="SLR.MC"/>
        <s v="IAG.MC"/>
        <s v="MGT.MI"/>
        <s v="HAG.F"/>
        <s v="MAP.MC"/>
        <s v="TCX.SG"/>
        <s v="SBGSF"/>
        <s v="GRE.MC"/>
        <s v="AI3A.SG"/>
        <s v="CIRSA.MC"/>
        <s v="DIA.MC"/>
      </sharedItems>
    </cacheField>
    <cacheField name="Índice" numFmtId="0">
      <sharedItems/>
    </cacheField>
    <cacheField name="Probabilidad %" numFmtId="0">
      <sharedItems containsSemiMixedTypes="0" containsString="0" containsNumber="1" containsInteger="1" minValue="50" maxValue="92" count="35">
        <n v="92"/>
        <n v="90"/>
        <n v="89"/>
        <n v="88"/>
        <n v="87"/>
        <n v="86"/>
        <n v="85"/>
        <n v="84"/>
        <n v="83"/>
        <n v="82"/>
        <n v="81"/>
        <n v="80"/>
        <n v="77"/>
        <n v="76"/>
        <n v="75"/>
        <n v="74"/>
        <n v="73"/>
        <n v="72"/>
        <n v="71"/>
        <n v="70"/>
        <n v="68"/>
        <n v="67"/>
        <n v="66"/>
        <n v="65"/>
        <n v="64"/>
        <n v="63"/>
        <n v="62"/>
        <n v="61"/>
        <n v="60"/>
        <n v="58"/>
        <n v="57"/>
        <n v="56"/>
        <n v="55"/>
        <n v="54"/>
        <n v="50"/>
      </sharedItems>
    </cacheField>
    <cacheField name="Sesgo" numFmtId="0">
      <sharedItems count="3">
        <s v="Largo"/>
        <s v="Neutral"/>
        <s v="Bajo"/>
      </sharedItems>
    </cacheField>
    <cacheField name="Horizonte" numFmtId="0">
      <sharedItems count="5">
        <s v="2–6 semanas"/>
        <s v="2–4 semanas"/>
        <s v="1–3 semanas"/>
        <s v="1–2 semanas"/>
        <s v="—"/>
      </sharedItems>
    </cacheField>
    <cacheField name="Beta" numFmtId="0">
      <sharedItems count="4">
        <s v="Alta"/>
        <s v="Media"/>
        <s v="Muy alta"/>
        <s v="Baja"/>
      </sharedItems>
    </cacheField>
    <cacheField name="Estrategia" numFmtId="0">
      <sharedItems/>
    </cacheField>
    <cacheField name="PE (tipo)" numFmtId="0">
      <sharedItems/>
    </cacheField>
    <cacheField name="SL (tipo)" numFmtId="0">
      <sharedItems/>
    </cacheField>
    <cacheField name="TP (tipo)" numFmtId="0">
      <sharedItems/>
    </cacheField>
    <cacheField name="Fase de mercado" numFmtId="0">
      <sharedItems count="3">
        <s v="Alcista"/>
        <s v="Lateral"/>
        <s v="Incierta"/>
      </sharedItems>
    </cacheField>
    <cacheField name="Comenta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4"/>
    <x v="0"/>
    <e v="#N/A"/>
    <n v="1585.5"/>
    <d v="2025-12-18T00:00:00"/>
    <x v="0"/>
    <e v="#N/A"/>
    <x v="0"/>
    <n v="-8"/>
    <n v="1585.5"/>
    <n v="1440"/>
    <n v="1900"/>
    <n v="1"/>
    <x v="0"/>
    <x v="0"/>
    <s v=""/>
    <s v=""/>
    <n v="-145.5"/>
    <n v="-9.1769157994323558E-2"/>
    <x v="0"/>
    <x v="0"/>
    <n v="326"/>
    <n v="0.20561337117628509"/>
    <n v="314.5"/>
    <n v="0.19836013875748976"/>
    <n v="2.1615120274914088"/>
    <n v="1911.5"/>
    <s v=""/>
    <s v=""/>
    <s v=""/>
    <s v=""/>
    <s v=""/>
    <s v=""/>
    <s v=""/>
  </r>
  <r>
    <m/>
    <x v="1"/>
    <e v="#N/A"/>
    <n v="1611.5"/>
    <d v="2026-01-12T00:00:00"/>
    <x v="1"/>
    <n v="1.279144422705536E-3"/>
    <x v="1"/>
    <s v=""/>
    <n v="1611.5"/>
    <n v="1440"/>
    <n v="1900"/>
    <n v="1"/>
    <x v="0"/>
    <x v="0"/>
    <s v=""/>
    <s v=""/>
    <n v="-171.5"/>
    <n v="-0.10642258765125659"/>
    <x v="1"/>
    <x v="1"/>
    <s v=""/>
    <s v=""/>
    <n v="288.5"/>
    <n v="0.17902575240459198"/>
    <n v="1.6822157434402332"/>
    <n v="1906.5"/>
    <s v=""/>
    <n v="0.18305926155755503"/>
    <n v="0.32395833333333335"/>
    <n v="3.4210526315789913E-3"/>
    <n v="-1.0560162464038044E-2"/>
    <s v=""/>
    <s v=""/>
  </r>
  <r>
    <n v="31"/>
    <x v="2"/>
    <e v="#N/A"/>
    <n v="976.32"/>
    <d v="2026-01-04T00:00:00"/>
    <x v="0"/>
    <e v="#N/A"/>
    <x v="2"/>
    <n v="1"/>
    <n v="54.24"/>
    <n v="52.26"/>
    <n v="57.8"/>
    <n v="18"/>
    <x v="0"/>
    <x v="0"/>
    <s v=""/>
    <s v=""/>
    <n v="-35.640000000000072"/>
    <n v="-3.6504424778761133E-2"/>
    <x v="2"/>
    <x v="2"/>
    <n v="64.439999999999969"/>
    <n v="6.6002949852507334E-2"/>
    <n v="64.079999999999913"/>
    <n v="6.5634218289085458E-2"/>
    <n v="1.797979797979792"/>
    <n v="57.82"/>
    <s v=""/>
    <s v=""/>
    <s v=""/>
    <s v=""/>
    <s v=""/>
    <s v=""/>
    <s v=""/>
  </r>
  <r>
    <m/>
    <x v="3"/>
    <e v="#N/A"/>
    <n v="1018.4399999999999"/>
    <d v="2026-01-14T00:00:00"/>
    <x v="1"/>
    <n v="7.7997584654510678E-3"/>
    <x v="1"/>
    <s v=""/>
    <n v="56.58"/>
    <n v="55.24"/>
    <n v="62.22"/>
    <n v="18"/>
    <x v="0"/>
    <x v="0"/>
    <s v=""/>
    <s v=""/>
    <n v="-24.119999999999933"/>
    <n v="-2.3683280311063915E-2"/>
    <x v="1"/>
    <x v="1"/>
    <s v=""/>
    <s v=""/>
    <n v="101.52000000000001"/>
    <n v="9.968186638388124E-2"/>
    <n v="4.2089552238806087"/>
    <n v="59.14"/>
    <s v=""/>
    <n v="4.5245669848002823E-2"/>
    <n v="7.0601013758146314E-2"/>
    <n v="-4.9501767920282824E-2"/>
    <n v="0.7011481179272876"/>
    <s v=""/>
    <s v=""/>
  </r>
  <r>
    <m/>
    <x v="4"/>
    <n v="0.54"/>
    <n v="995.17000000000007"/>
    <d v="2026-01-07T00:00:00"/>
    <x v="1"/>
    <n v="8.6340443823227362E-4"/>
    <x v="1"/>
    <s v=""/>
    <n v="11.99"/>
    <n v="11.7"/>
    <n v="12.91"/>
    <n v="83"/>
    <x v="0"/>
    <x v="0"/>
    <s v=""/>
    <s v=""/>
    <n v="-24.070000000000078"/>
    <n v="-2.4186822351960045E-2"/>
    <x v="1"/>
    <x v="1"/>
    <s v=""/>
    <s v=""/>
    <n v="76.36"/>
    <n v="7.6730608840700584E-2"/>
    <n v="3.1724137931034377"/>
    <n v="13.25"/>
    <s v=""/>
    <n v="0.10508757297748117"/>
    <n v="0.13247863247863245"/>
    <n v="2.6336173508907823E-2"/>
    <n v="-0.1987956322930462"/>
    <s v=""/>
    <s v=""/>
  </r>
  <r>
    <n v="30"/>
    <x v="5"/>
    <e v="#N/A"/>
    <n v="984.59999999999991"/>
    <d v="2025-12-05T00:00:00"/>
    <x v="0"/>
    <e v="#N/A"/>
    <x v="3"/>
    <n v="0"/>
    <n v="196.92"/>
    <n v="188"/>
    <n v="220"/>
    <n v="5"/>
    <x v="0"/>
    <x v="0"/>
    <s v=""/>
    <s v=""/>
    <n v="-44.599999999999937"/>
    <n v="-4.5297582774730796E-2"/>
    <x v="3"/>
    <x v="3"/>
    <n v="115.40000000000006"/>
    <n v="0.1172049563274427"/>
    <n v="115.40000000000006"/>
    <n v="0.1172049563274427"/>
    <n v="2.5874439461883458"/>
    <n v="220"/>
    <s v=""/>
    <s v=""/>
    <s v=""/>
    <s v=""/>
    <s v=""/>
    <s v=""/>
    <s v=""/>
  </r>
  <r>
    <m/>
    <x v="6"/>
    <e v="#N/A"/>
    <n v="1031.75"/>
    <d v="2026-01-14T00:00:00"/>
    <x v="1"/>
    <n v="4.4039048080251052E-4"/>
    <x v="1"/>
    <s v=""/>
    <n v="206.35"/>
    <n v="201.5"/>
    <n v="224.7"/>
    <n v="5"/>
    <x v="0"/>
    <x v="0"/>
    <s v=""/>
    <s v=""/>
    <n v="-24.249999999999972"/>
    <n v="-2.350375575478553E-2"/>
    <x v="1"/>
    <x v="1"/>
    <s v=""/>
    <s v=""/>
    <n v="91.749999999999972"/>
    <n v="8.8926581051611317E-2"/>
    <n v="3.7835051546391787"/>
    <n v="216.8"/>
    <s v=""/>
    <n v="5.0642112914950355E-2"/>
    <n v="7.5930521091811531E-2"/>
    <n v="-3.5157988429016407E-2"/>
    <n v="0.46302840970240489"/>
    <s v=""/>
    <s v=""/>
  </r>
  <r>
    <n v="34"/>
    <x v="7"/>
    <e v="#N/A"/>
    <n v="987.83999999999992"/>
    <d v="2025-12-05T00:00:00"/>
    <x v="0"/>
    <e v="#N/A"/>
    <x v="3"/>
    <n v="0"/>
    <n v="82.32"/>
    <n v="70"/>
    <n v="100"/>
    <n v="12"/>
    <x v="0"/>
    <x v="0"/>
    <s v=""/>
    <s v=""/>
    <n v="-147.83999999999992"/>
    <n v="-0.14965986394557815"/>
    <x v="2"/>
    <x v="4"/>
    <n v="213"/>
    <n v="0.21562196307094267"/>
    <n v="212.16000000000008"/>
    <n v="0.21477162293488833"/>
    <n v="1.4350649350649365"/>
    <n v="100.07"/>
    <s v=""/>
    <s v=""/>
    <s v=""/>
    <s v=""/>
    <s v=""/>
    <s v=""/>
    <s v=""/>
  </r>
  <r>
    <m/>
    <x v="8"/>
    <e v="#N/A"/>
    <n v="980.87999999999988"/>
    <d v="2026-01-14T00:00:00"/>
    <x v="1"/>
    <n v="1.4464959666863097E-2"/>
    <x v="1"/>
    <s v=""/>
    <n v="81.739999999999995"/>
    <n v="76.569999999999993"/>
    <n v="100"/>
    <n v="12"/>
    <x v="0"/>
    <x v="0"/>
    <s v=""/>
    <s v=""/>
    <n v="-62.04000000000002"/>
    <n v="-6.3249327134817748E-2"/>
    <x v="1"/>
    <x v="1"/>
    <s v=""/>
    <s v=""/>
    <n v="219.12000000000006"/>
    <n v="0.22339124051871798"/>
    <n v="3.5319148936170213"/>
    <n v="105.08"/>
    <s v=""/>
    <n v="0.2855395155370688"/>
    <n v="0.37233903617604813"/>
    <n v="5.0799999999999956E-2"/>
    <n v="-0.13643479480883886"/>
    <s v=""/>
    <s v=""/>
  </r>
  <r>
    <m/>
    <x v="9"/>
    <n v="0.5"/>
    <n v="1003.0799999999999"/>
    <d v="2026-01-10T00:00:00"/>
    <x v="1"/>
    <n v="7.1661166031691259E-3"/>
    <x v="1"/>
    <s v=""/>
    <n v="12.86"/>
    <n v="12.58"/>
    <n v="13.9"/>
    <n v="78"/>
    <x v="0"/>
    <x v="0"/>
    <s v=""/>
    <s v=""/>
    <n v="-21.83999999999995"/>
    <n v="-2.1772939346811772E-2"/>
    <x v="1"/>
    <x v="1"/>
    <s v=""/>
    <s v=""/>
    <n v="81.120000000000076"/>
    <n v="8.0870917573872547E-2"/>
    <n v="3.7142857142857264"/>
    <n v="13.22"/>
    <s v=""/>
    <n v="2.7993779160186749E-2"/>
    <n v="5.0874403815580393E-2"/>
    <n v="-4.8920863309352525E-2"/>
    <n v="0.96160071942445857"/>
    <s v=""/>
    <s v=""/>
  </r>
  <r>
    <n v="10"/>
    <x v="10"/>
    <e v="#N/A"/>
    <n v="999.99599999999998"/>
    <d v="2025-11-24T00:00:00"/>
    <x v="0"/>
    <e v="#N/A"/>
    <x v="4"/>
    <n v="-5"/>
    <n v="0.1336"/>
    <n v="0.125"/>
    <n v="0.14899999999999999"/>
    <n v="7485"/>
    <x v="0"/>
    <x v="0"/>
    <s v=""/>
    <s v=""/>
    <n v="-64.370999999999981"/>
    <n v="-6.437125748502992E-2"/>
    <x v="4"/>
    <x v="5"/>
    <n v="115.26899999999998"/>
    <n v="0.11526946107784429"/>
    <n v="115.26899999999998"/>
    <n v="0.11526946107784429"/>
    <n v="1.7906976744186047"/>
    <n v="0.14899999999999999"/>
    <s v=""/>
    <s v=""/>
    <s v=""/>
    <s v=""/>
    <s v=""/>
    <s v=""/>
    <s v=""/>
  </r>
  <r>
    <m/>
    <x v="11"/>
    <n v="0.54"/>
    <n v="1278.4380000000001"/>
    <d v="2026-01-11T00:00:00"/>
    <x v="1"/>
    <n v="-1.0526315789473694E-2"/>
    <x v="1"/>
    <s v=""/>
    <n v="0.17080000000000001"/>
    <n v="0.15939999999999999"/>
    <n v="0.1988"/>
    <n v="7485"/>
    <x v="0"/>
    <x v="0"/>
    <s v=""/>
    <s v=""/>
    <n v="-85.329000000000164"/>
    <n v="-6.6744730679157038E-2"/>
    <x v="1"/>
    <x v="1"/>
    <s v=""/>
    <s v=""/>
    <n v="209.57999999999998"/>
    <n v="0.16393442622950818"/>
    <n v="2.4561403508771882"/>
    <n v="0.18"/>
    <s v=""/>
    <n v="5.3864168618266817E-2"/>
    <n v="0.12923462986198242"/>
    <n v="-9.456740442655942E-2"/>
    <n v="0.73174972163075602"/>
    <s v=""/>
    <s v=""/>
  </r>
  <r>
    <m/>
    <x v="12"/>
    <n v="0.54"/>
    <n v="1010.56"/>
    <d v="2025-11-24T00:00:00"/>
    <x v="2"/>
    <n v="-1.095466059729735E-2"/>
    <x v="5"/>
    <n v="0"/>
    <n v="63.16"/>
    <n v="59.8"/>
    <n v="67"/>
    <n v="16"/>
    <x v="0"/>
    <x v="0"/>
    <s v=""/>
    <s v=""/>
    <n v="-53.759999999999991"/>
    <n v="-5.3198226725775802E-2"/>
    <x v="1"/>
    <x v="1"/>
    <s v=""/>
    <s v=""/>
    <n v="61.440000000000055"/>
    <n v="6.0797973400886697E-2"/>
    <n v="1.1428571428571441"/>
    <n v="60.8"/>
    <n v="54"/>
    <s v=""/>
    <n v="1.6722408026755842E-2"/>
    <n v="-9.2537313432835888E-2"/>
    <n v="5.5337313432835895"/>
    <n v="-37.759999999999948"/>
    <n v="-3.7365421152628198E-2"/>
  </r>
  <r>
    <m/>
    <x v="13"/>
    <n v="0.63"/>
    <n v="910.36"/>
    <d v="2026-01-05T00:00:00"/>
    <x v="1"/>
    <n v="-6.8759300697742278E-3"/>
    <x v="1"/>
    <s v=""/>
    <n v="227.59"/>
    <n v="219.18"/>
    <n v="257"/>
    <n v="4"/>
    <x v="0"/>
    <x v="0"/>
    <s v=""/>
    <s v=""/>
    <n v="-33.639999999999986"/>
    <n v="-3.6952414429456466E-2"/>
    <x v="1"/>
    <x v="1"/>
    <s v=""/>
    <s v=""/>
    <n v="117.63999999999999"/>
    <n v="0.12922360384902673"/>
    <n v="3.4970273483947691"/>
    <n v="239.12"/>
    <s v=""/>
    <n v="5.0661276857506987E-2"/>
    <n v="9.0975453964777797E-2"/>
    <n v="-6.9571984435797596E-2"/>
    <n v="0.76473357816640519"/>
    <s v=""/>
    <s v=""/>
  </r>
  <r>
    <m/>
    <x v="14"/>
    <n v="0.56000000000000005"/>
    <n v="1075"/>
    <d v="2025-12-22T00:00:00"/>
    <x v="1"/>
    <n v="8.6710969055996175E-3"/>
    <x v="1"/>
    <s v=""/>
    <n v="215"/>
    <n v="190"/>
    <n v="243"/>
    <n v="5"/>
    <x v="0"/>
    <x v="0"/>
    <s v=""/>
    <s v=""/>
    <n v="-125"/>
    <n v="-0.11627906976744186"/>
    <x v="1"/>
    <x v="1"/>
    <s v=""/>
    <s v=""/>
    <n v="140"/>
    <n v="0.13023255813953488"/>
    <n v="1.1200000000000001"/>
    <n v="247.68"/>
    <s v=""/>
    <n v="0.15200000000000014"/>
    <n v="0.30357894736842117"/>
    <n v="1.9259259259259309E-2"/>
    <n v="-6.3440694508655818E-2"/>
    <s v=""/>
    <s v=""/>
  </r>
  <r>
    <n v="22"/>
    <x v="15"/>
    <e v="#N/A"/>
    <n v="909.5"/>
    <d v="2025-12-30T00:00:00"/>
    <x v="0"/>
    <e v="#N/A"/>
    <x v="6"/>
    <n v="1"/>
    <n v="909.5"/>
    <n v="890"/>
    <n v="1082"/>
    <n v="1"/>
    <x v="0"/>
    <x v="0"/>
    <s v=""/>
    <s v=""/>
    <n v="-19.5"/>
    <n v="-2.1440351841671246E-2"/>
    <x v="0"/>
    <x v="6"/>
    <n v="180.70000000000005"/>
    <n v="0.19868059373282029"/>
    <n v="172.5"/>
    <n v="0.18966465090709181"/>
    <n v="8.8461538461538467"/>
    <n v="1090.2"/>
    <s v=""/>
    <s v=""/>
    <s v=""/>
    <s v=""/>
    <s v=""/>
    <s v=""/>
    <s v=""/>
  </r>
  <r>
    <m/>
    <x v="16"/>
    <n v="0.61"/>
    <n v="985.2"/>
    <d v="2026-01-12T00:00:00"/>
    <x v="1"/>
    <n v="-1.421321329085048E-2"/>
    <x v="1"/>
    <s v=""/>
    <n v="985.2"/>
    <n v="963.1"/>
    <n v="1082"/>
    <n v="1"/>
    <x v="0"/>
    <x v="0"/>
    <s v=""/>
    <s v=""/>
    <n v="-22.100000000000023"/>
    <n v="-2.2431993503857106E-2"/>
    <x v="1"/>
    <x v="1"/>
    <s v=""/>
    <s v=""/>
    <n v="96.799999999999955"/>
    <n v="9.8254161591554964E-2"/>
    <n v="4.3800904977375499"/>
    <n v="1167.2"/>
    <s v=""/>
    <n v="0.18473406414941129"/>
    <n v="0.21191984217630577"/>
    <n v="7.8743068391867066E-2"/>
    <n v="-0.37157005961884926"/>
    <s v=""/>
    <s v=""/>
  </r>
  <r>
    <m/>
    <x v="17"/>
    <n v="0.57999999999999996"/>
    <n v="1011.01"/>
    <d v="2026-01-04T00:00:00"/>
    <x v="1"/>
    <n v="-4.4956739643745355E-3"/>
    <x v="1"/>
    <s v=""/>
    <n v="77.77"/>
    <n v="76.41"/>
    <n v="84.56"/>
    <n v="13"/>
    <x v="0"/>
    <x v="0"/>
    <s v=""/>
    <s v=""/>
    <n v="-17.679999999999993"/>
    <n v="-1.7487463032017481E-2"/>
    <x v="1"/>
    <x v="1"/>
    <s v=""/>
    <s v=""/>
    <n v="88.270000000000081"/>
    <n v="8.7308730873087395E-2"/>
    <n v="4.9926470588235361"/>
    <n v="79"/>
    <s v=""/>
    <n v="1.5815867301015807E-2"/>
    <n v="3.3896086899620537E-2"/>
    <n v="-6.5752128666035969E-2"/>
    <n v="1.9398147302593816"/>
    <s v=""/>
    <s v=""/>
  </r>
  <r>
    <n v="19"/>
    <x v="18"/>
    <e v="#N/A"/>
    <n v="1028.5"/>
    <d v="2025-12-29T00:00:00"/>
    <x v="0"/>
    <e v="#N/A"/>
    <x v="7"/>
    <n v="1"/>
    <n v="93.5"/>
    <n v="85"/>
    <n v="110"/>
    <n v="11"/>
    <x v="0"/>
    <x v="0"/>
    <s v=""/>
    <s v=""/>
    <n v="-93.5"/>
    <n v="-9.0909090909090912E-2"/>
    <x v="5"/>
    <x v="2"/>
    <n v="181.5"/>
    <n v="0.17647058823529413"/>
    <n v="181.5"/>
    <n v="0.17647058823529413"/>
    <n v="1.9411764705882353"/>
    <n v="110"/>
    <s v=""/>
    <s v=""/>
    <s v=""/>
    <s v=""/>
    <s v=""/>
    <s v=""/>
    <s v=""/>
  </r>
  <r>
    <m/>
    <x v="19"/>
    <n v="0.5"/>
    <n v="1079.8700000000001"/>
    <d v="2026-01-11T00:00:00"/>
    <x v="1"/>
    <n v="-9.0610518233393835E-4"/>
    <x v="1"/>
    <s v=""/>
    <n v="98.17"/>
    <n v="91.33"/>
    <n v="110.91"/>
    <n v="11"/>
    <x v="0"/>
    <x v="0"/>
    <s v=""/>
    <s v=""/>
    <n v="-75.240000000000038"/>
    <n v="-6.9675053478659502E-2"/>
    <x v="1"/>
    <x v="1"/>
    <s v=""/>
    <s v=""/>
    <n v="140.13999999999993"/>
    <n v="0.12977488030966683"/>
    <n v="1.8625730994152028"/>
    <n v="113.41"/>
    <s v=""/>
    <n v="0.15524090862789031"/>
    <n v="0.24176064819883947"/>
    <n v="2.2540798845911203E-2"/>
    <n v="-9.3236012617620892E-2"/>
    <s v=""/>
    <s v=""/>
  </r>
  <r>
    <m/>
    <x v="20"/>
    <n v="0.55000000000000004"/>
    <n v="1070.72"/>
    <d v="2026-01-11T00:00:00"/>
    <x v="1"/>
    <n v="2.9160004895129044E-3"/>
    <x v="1"/>
    <s v=""/>
    <n v="19.12"/>
    <n v="18.690000000000001"/>
    <n v="20.71"/>
    <n v="56"/>
    <x v="0"/>
    <x v="0"/>
    <s v=""/>
    <s v=""/>
    <n v="-24.079999999999984"/>
    <n v="-2.2489539748953961E-2"/>
    <x v="1"/>
    <x v="1"/>
    <s v=""/>
    <s v=""/>
    <n v="89.039999999999992"/>
    <n v="8.315899581589957E-2"/>
    <n v="3.6976744186046533"/>
    <n v="20.95"/>
    <s v=""/>
    <n v="9.5711297071129575E-2"/>
    <n v="0.12092027822364892"/>
    <n v="1.1588604538870007E-2"/>
    <n v="-9.5836733996230342E-2"/>
    <s v=""/>
    <s v=""/>
  </r>
  <r>
    <n v="8"/>
    <x v="21"/>
    <e v="#N/A"/>
    <n v="988.39999999999986"/>
    <d v="2025-11-25T00:00:00"/>
    <x v="0"/>
    <e v="#N/A"/>
    <x v="4"/>
    <n v="-6"/>
    <n v="17.649999999999999"/>
    <n v="17.100000000000001"/>
    <n v="20"/>
    <n v="56"/>
    <x v="0"/>
    <x v="0"/>
    <s v=""/>
    <s v=""/>
    <n v="-30.799999999999841"/>
    <n v="-3.1161473087818539E-2"/>
    <x v="6"/>
    <x v="0"/>
    <n v="132.72000000000006"/>
    <n v="0.13427762039660063"/>
    <n v="131.60000000000008"/>
    <n v="0.13314447592067999"/>
    <n v="4.2727272727272974"/>
    <n v="20.02"/>
    <s v=""/>
    <s v=""/>
    <s v=""/>
    <s v=""/>
    <s v=""/>
    <s v=""/>
    <s v=""/>
  </r>
  <r>
    <m/>
    <x v="22"/>
    <n v="0.55000000000000004"/>
    <n v="1009.4699999999999"/>
    <d v="2025-11-26T00:00:00"/>
    <x v="2"/>
    <n v="2.011166010282772E-3"/>
    <x v="4"/>
    <n v="-7"/>
    <n v="13.11"/>
    <n v="12.4"/>
    <n v="15"/>
    <n v="77"/>
    <x v="0"/>
    <x v="0"/>
    <s v=""/>
    <s v=""/>
    <n v="-54.669999999999931"/>
    <n v="-5.4157131960335558E-2"/>
    <x v="1"/>
    <x v="1"/>
    <s v=""/>
    <s v=""/>
    <n v="145.53000000000003"/>
    <n v="0.14416475972540049"/>
    <n v="2.6619718309859195"/>
    <n v="14.24"/>
    <n v="59"/>
    <s v=""/>
    <n v="0.14838709677419359"/>
    <n v="-5.0666666666666638E-2"/>
    <n v="0.34144927536231856"/>
    <n v="87.010000000000048"/>
    <n v="8.619374523264689E-2"/>
  </r>
  <r>
    <n v="16"/>
    <x v="23"/>
    <e v="#N/A"/>
    <n v="1007.7600000000001"/>
    <d v="2025-12-10T00:00:00"/>
    <x v="0"/>
    <e v="#N/A"/>
    <x v="0"/>
    <n v="0"/>
    <n v="19.760000000000002"/>
    <n v="17.489999999999998"/>
    <n v="23.5"/>
    <n v="51"/>
    <x v="0"/>
    <x v="0"/>
    <s v=""/>
    <s v=""/>
    <n v="-115.77000000000015"/>
    <n v="-0.1148785425101216"/>
    <x v="5"/>
    <x v="7"/>
    <n v="199.41"/>
    <n v="0.19787449392712547"/>
    <n v="190.73999999999992"/>
    <n v="0.18927125506072864"/>
    <n v="1.6475770925110105"/>
    <n v="23.67"/>
    <s v=""/>
    <s v=""/>
    <s v=""/>
    <s v=""/>
    <s v=""/>
    <s v=""/>
    <s v=""/>
  </r>
  <r>
    <m/>
    <x v="24"/>
    <n v="0.5"/>
    <n v="1024.5899999999999"/>
    <d v="2026-01-11T00:00:00"/>
    <x v="1"/>
    <n v="-1.7927250970694475E-3"/>
    <x v="1"/>
    <s v=""/>
    <n v="20.09"/>
    <n v="19.27"/>
    <n v="23.5"/>
    <n v="51"/>
    <x v="0"/>
    <x v="0"/>
    <s v=""/>
    <s v=""/>
    <n v="-41.820000000000014"/>
    <n v="-4.0816326530612262E-2"/>
    <x v="1"/>
    <x v="1"/>
    <s v=""/>
    <s v=""/>
    <n v="173.91"/>
    <n v="0.16973618715778996"/>
    <n v="4.1585365853658525"/>
    <n v="28.1"/>
    <s v=""/>
    <n v="0.39870582379293196"/>
    <n v="0.45822522055007786"/>
    <n v="0.19574468085106389"/>
    <n v="-0.42718006795016999"/>
    <s v=""/>
    <s v=""/>
  </r>
  <r>
    <m/>
    <x v="25"/>
    <n v="0.55000000000000004"/>
    <n v="997.375"/>
    <d v="2026-01-12T00:00:00"/>
    <x v="1"/>
    <n v="1.749251172312749E-3"/>
    <x v="1"/>
    <s v=""/>
    <n v="9.875"/>
    <n v="9.6519999999999992"/>
    <n v="10.66"/>
    <n v="101"/>
    <x v="0"/>
    <x v="0"/>
    <s v=""/>
    <s v=""/>
    <n v="-22.523000000000074"/>
    <n v="-2.2582278481012734E-2"/>
    <x v="1"/>
    <x v="1"/>
    <s v=""/>
    <s v=""/>
    <n v="79.285000000000011"/>
    <n v="7.9493670886075965E-2"/>
    <n v="3.5201793721972985"/>
    <n v="10.71"/>
    <s v=""/>
    <n v="8.4556962025316595E-2"/>
    <n v="0.10961458765022813"/>
    <n v="4.6904315196998336E-3"/>
    <n v="-4.2790212692006342E-2"/>
    <s v=""/>
    <s v=""/>
  </r>
  <r>
    <n v="2"/>
    <x v="26"/>
    <e v="#N/A"/>
    <n v="994.33800000000008"/>
    <d v="2025-11-23T00:00:00"/>
    <x v="0"/>
    <e v="#N/A"/>
    <x v="8"/>
    <n v="-5"/>
    <n v="0.66600000000000004"/>
    <n v="0.62"/>
    <n v="0.82"/>
    <n v="1493"/>
    <x v="1"/>
    <x v="1"/>
    <n v="-68.678000000000054"/>
    <n v="-6.9069069069069122E-2"/>
    <n v="-68.678000000000054"/>
    <n v="-6.9069069069069122E-2"/>
    <x v="1"/>
    <x v="1"/>
    <s v=""/>
    <s v=""/>
    <n v="229.92199999999988"/>
    <n v="0.2312312312312311"/>
    <n v="3.3478260869565175"/>
    <n v="0.62"/>
    <s v=""/>
    <s v=""/>
    <s v=""/>
    <s v=""/>
    <s v=""/>
    <s v=""/>
    <s v=""/>
  </r>
  <r>
    <n v="23"/>
    <x v="27"/>
    <e v="#N/A"/>
    <n v="955.52"/>
    <d v="2026-01-11T00:00:00"/>
    <x v="0"/>
    <e v="#N/A"/>
    <x v="9"/>
    <n v="0"/>
    <n v="0.64"/>
    <n v="0.63600000000000001"/>
    <n v="0.71699999999999997"/>
    <n v="1493"/>
    <x v="2"/>
    <x v="2"/>
    <n v="-7.465000000000007"/>
    <n v="-7.8125000000000069E-3"/>
    <n v="-5.9720000000000049"/>
    <n v="-6.2500000000000056E-3"/>
    <x v="1"/>
    <x v="1"/>
    <s v=""/>
    <s v=""/>
    <n v="114.96099999999994"/>
    <n v="0.12031249999999995"/>
    <n v="19.249999999999975"/>
    <n v="0.63500000000000001"/>
    <s v=""/>
    <s v=""/>
    <s v=""/>
    <s v=""/>
    <s v=""/>
    <s v=""/>
    <s v=""/>
  </r>
  <r>
    <n v="26"/>
    <x v="28"/>
    <e v="#N/A"/>
    <n v="946.56200000000001"/>
    <d v="2026-01-12T00:00:00"/>
    <x v="0"/>
    <e v="#N/A"/>
    <x v="10"/>
    <n v="0"/>
    <n v="0.63400000000000001"/>
    <n v="0.61499999999999999"/>
    <n v="0.71699999999999997"/>
    <n v="1493"/>
    <x v="3"/>
    <x v="2"/>
    <n v="-32.846000000000032"/>
    <n v="-3.4700315457413283E-2"/>
    <n v="-28.367000000000026"/>
    <n v="-2.9968454258675104E-2"/>
    <x v="1"/>
    <x v="1"/>
    <s v=""/>
    <s v=""/>
    <n v="123.91899999999994"/>
    <n v="0.13091482649842265"/>
    <n v="4.3684210526315725"/>
    <n v="0.61199999999999999"/>
    <s v=""/>
    <s v=""/>
    <s v=""/>
    <s v=""/>
    <s v=""/>
    <s v=""/>
    <s v=""/>
  </r>
  <r>
    <m/>
    <x v="29"/>
    <n v="0.5"/>
    <n v="937.60400000000004"/>
    <d v="2026-01-13T00:00:00"/>
    <x v="2"/>
    <n v="-6.2483998975934709E-3"/>
    <x v="11"/>
    <n v="1"/>
    <n v="0.628"/>
    <n v="0.58399999999999996"/>
    <n v="0.71699999999999997"/>
    <n v="1493"/>
    <x v="0"/>
    <x v="0"/>
    <s v=""/>
    <s v=""/>
    <n v="-65.692000000000064"/>
    <n v="-7.0063694267515991E-2"/>
    <x v="1"/>
    <x v="1"/>
    <s v=""/>
    <s v=""/>
    <n v="132.87699999999995"/>
    <n v="0.14171974522292988"/>
    <n v="2.0227272727272698"/>
    <n v="0.62"/>
    <n v="3"/>
    <s v=""/>
    <n v="6.164383561643838E-2"/>
    <n v="-0.13528591352859132"/>
    <n v="2.1946381527971472"/>
    <n v="-11.943999999999997"/>
    <n v="-1.2738853503184711E-2"/>
  </r>
  <r>
    <m/>
    <x v="30"/>
    <n v="0.5"/>
    <n v="997.55000000000007"/>
    <d v="2026-01-02T00:00:00"/>
    <x v="1"/>
    <n v="-4.1363288551622187E-3"/>
    <x v="1"/>
    <s v=""/>
    <n v="14.05"/>
    <n v="13.45"/>
    <n v="15.4"/>
    <n v="71"/>
    <x v="0"/>
    <x v="0"/>
    <s v=""/>
    <s v=""/>
    <n v="-42.600000000000101"/>
    <n v="-4.2704626334519671E-2"/>
    <x v="1"/>
    <x v="1"/>
    <s v=""/>
    <s v=""/>
    <n v="95.84999999999998"/>
    <n v="9.6085409252669007E-2"/>
    <n v="2.2499999999999942"/>
    <n v="13.98"/>
    <s v=""/>
    <n v="-4.982206405694023E-3"/>
    <n v="3.9405204460966736E-2"/>
    <n v="-9.2207792207792183E-2"/>
    <n v="2.3399901984807525"/>
    <s v=""/>
    <s v=""/>
  </r>
  <r>
    <n v="12"/>
    <x v="31"/>
    <e v="#N/A"/>
    <n v="959.36"/>
    <d v="2025-12-30T00:00:00"/>
    <x v="0"/>
    <e v="#N/A"/>
    <x v="7"/>
    <n v="0"/>
    <n v="479.68"/>
    <n v="461.66"/>
    <n v="567.71"/>
    <n v="2"/>
    <x v="4"/>
    <x v="3"/>
    <n v="-36.620000000000005"/>
    <n v="-3.8171280853902603E-2"/>
    <n v="-36.039999999999964"/>
    <n v="-3.7566711140760468E-2"/>
    <x v="1"/>
    <x v="1"/>
    <s v=""/>
    <s v=""/>
    <n v="176.06000000000006"/>
    <n v="0.1835181787858573"/>
    <n v="4.8851276359600506"/>
    <n v="461.37"/>
    <s v=""/>
    <s v=""/>
    <s v=""/>
    <s v=""/>
    <s v=""/>
    <s v=""/>
    <s v=""/>
  </r>
  <r>
    <n v="36"/>
    <x v="32"/>
    <e v="#N/A"/>
    <n v="924"/>
    <d v="2026-01-11T00:00:00"/>
    <x v="0"/>
    <e v="#N/A"/>
    <x v="10"/>
    <n v="1"/>
    <n v="462"/>
    <n v="447.95"/>
    <n v="556.87"/>
    <n v="2"/>
    <x v="5"/>
    <x v="4"/>
    <n v="-29.559999999999945"/>
    <n v="-3.1991341991341932E-2"/>
    <n v="-28.100000000000023"/>
    <n v="-3.0411255411255438E-2"/>
    <x v="1"/>
    <x v="1"/>
    <s v=""/>
    <s v=""/>
    <n v="189.74"/>
    <n v="0.20534632034632036"/>
    <n v="6.7523131672597811"/>
    <n v="447.22"/>
    <s v=""/>
    <s v=""/>
    <s v=""/>
    <s v=""/>
    <s v=""/>
    <s v=""/>
    <s v=""/>
  </r>
  <r>
    <m/>
    <x v="33"/>
    <n v="0.56999999999999995"/>
    <n v="895.4"/>
    <d v="2026-01-16T00:00:00"/>
    <x v="2"/>
    <n v="-4.3649584357347447E-3"/>
    <x v="12"/>
    <n v="0"/>
    <n v="447.7"/>
    <n v="421.79"/>
    <n v="550.03"/>
    <n v="2"/>
    <x v="0"/>
    <x v="0"/>
    <s v=""/>
    <s v=""/>
    <n v="-51.819999999999936"/>
    <n v="-5.7873576055394164E-2"/>
    <x v="1"/>
    <x v="1"/>
    <s v=""/>
    <s v=""/>
    <n v="204.65999999999997"/>
    <n v="0.22856823765914672"/>
    <n v="3.9494403705133196"/>
    <n v="453.88"/>
    <n v="1"/>
    <s v=""/>
    <n v="7.6080513999857713E-2"/>
    <n v="-0.17480864680108354"/>
    <n v="2.2976796240021522"/>
    <n v="12.36000000000011"/>
    <n v="1.3803886531159382E-2"/>
  </r>
  <r>
    <m/>
    <x v="34"/>
    <n v="0.48"/>
    <n v="998.2"/>
    <d v="2026-01-02T00:00:00"/>
    <x v="1"/>
    <n v="1.0826363565578956E-2"/>
    <x v="1"/>
    <s v=""/>
    <n v="32.200000000000003"/>
    <n v="29.85"/>
    <n v="40.5"/>
    <n v="31"/>
    <x v="0"/>
    <x v="0"/>
    <s v=""/>
    <s v=""/>
    <n v="-72.850000000000051"/>
    <n v="-7.2981366459627384E-2"/>
    <x v="1"/>
    <x v="1"/>
    <s v=""/>
    <s v=""/>
    <n v="257.2999999999999"/>
    <n v="0.25776397515527938"/>
    <n v="3.5319148936170173"/>
    <n v="38.450000000000003"/>
    <s v=""/>
    <n v="0.19409937888198758"/>
    <n v="0.28810720268006706"/>
    <n v="-5.0617283950617264E-2"/>
    <n v="0.17568906115417732"/>
    <s v=""/>
    <s v=""/>
  </r>
  <r>
    <m/>
    <x v="35"/>
    <n v="0.56000000000000005"/>
    <n v="1018.72"/>
    <d v="2026-01-10T00:00:00"/>
    <x v="2"/>
    <n v="-1.33861334331133E-2"/>
    <x v="10"/>
    <n v="2"/>
    <n v="127.34"/>
    <n v="117.59"/>
    <n v="199.01"/>
    <n v="8"/>
    <x v="0"/>
    <x v="0"/>
    <s v=""/>
    <s v=""/>
    <n v="-78"/>
    <n v="-7.6566671901994662E-2"/>
    <x v="1"/>
    <x v="1"/>
    <s v=""/>
    <s v=""/>
    <n v="573.3599999999999"/>
    <n v="0.56282393591958524"/>
    <n v="7.3507692307692292"/>
    <n v="119.02"/>
    <n v="5"/>
    <s v=""/>
    <n v="1.2160898035547207E-2"/>
    <n v="-0.40193960102507409"/>
    <n v="33.051802576600416"/>
    <n v="-66.560000000000059"/>
    <n v="-6.533689335636883E-2"/>
  </r>
  <r>
    <n v="25"/>
    <x v="36"/>
    <e v="#N/A"/>
    <n v="1024.5300119999999"/>
    <d v="2025-12-19T00:00:00"/>
    <x v="0"/>
    <e v="#N/A"/>
    <x v="13"/>
    <n v="20"/>
    <n v="31.046364000000001"/>
    <n v="30.23"/>
    <n v="33.69"/>
    <n v="33"/>
    <x v="3"/>
    <x v="5"/>
    <n v="-27.270012000000055"/>
    <n v="-2.6617094356041232E-2"/>
    <n v="-26.940012000000003"/>
    <n v="-2.6294995446165616E-2"/>
    <x v="1"/>
    <x v="1"/>
    <s v=""/>
    <s v=""/>
    <n v="87.239987999999911"/>
    <n v="8.5151227370779958E-2"/>
    <n v="3.2383054617793006"/>
    <n v="30.22"/>
    <s v=""/>
    <s v=""/>
    <s v=""/>
    <s v=""/>
    <s v=""/>
    <s v=""/>
    <s v=""/>
  </r>
  <r>
    <m/>
    <x v="37"/>
    <n v="0.56999999999999995"/>
    <n v="993.63"/>
    <d v="2026-01-13T00:00:00"/>
    <x v="2"/>
    <n v="1.1973051335397501E-3"/>
    <x v="14"/>
    <n v="0"/>
    <n v="30.11"/>
    <n v="29.62"/>
    <n v="32.39"/>
    <n v="33"/>
    <x v="0"/>
    <x v="0"/>
    <s v=""/>
    <s v=""/>
    <n v="-16.169999999999948"/>
    <n v="-1.6273663234805662E-2"/>
    <x v="1"/>
    <x v="1"/>
    <s v=""/>
    <s v=""/>
    <n v="75.240000000000038"/>
    <n v="7.5722351378279679E-2"/>
    <n v="4.6530612244898135"/>
    <n v="30.88"/>
    <n v="4"/>
    <s v=""/>
    <n v="4.2538825118163315E-2"/>
    <n v="-4.6619326952763274E-2"/>
    <n v="1.0959241780482945"/>
    <n v="25.409999999999922"/>
    <n v="2.5572899368980329E-2"/>
  </r>
  <r>
    <n v="20"/>
    <x v="38"/>
    <e v="#N/A"/>
    <n v="991.43999999999994"/>
    <d v="2026-01-07T00:00:00"/>
    <x v="0"/>
    <e v="#N/A"/>
    <x v="13"/>
    <n v="1"/>
    <n v="18.36"/>
    <n v="18.28"/>
    <n v="18.84"/>
    <n v="54"/>
    <x v="6"/>
    <x v="2"/>
    <n v="-5.3999999999998849"/>
    <n v="-5.4466230936818013E-3"/>
    <n v="-4.3199999999999079"/>
    <n v="-4.3572984749454414E-3"/>
    <x v="1"/>
    <x v="1"/>
    <s v=""/>
    <s v=""/>
    <n v="25.920000000000023"/>
    <n v="2.6143790849673228E-2"/>
    <n v="6.0000000000001332"/>
    <n v="18.260000000000002"/>
    <s v=""/>
    <s v=""/>
    <s v=""/>
    <s v=""/>
    <s v=""/>
    <s v=""/>
    <s v=""/>
  </r>
  <r>
    <n v="28"/>
    <x v="38"/>
    <e v="#N/A"/>
    <n v="987.12000000000012"/>
    <d v="2026-01-11T00:00:00"/>
    <x v="0"/>
    <e v="#N/A"/>
    <x v="10"/>
    <n v="1"/>
    <n v="18.28"/>
    <n v="18.239999999999998"/>
    <n v="18.84"/>
    <n v="54"/>
    <x v="3"/>
    <x v="2"/>
    <n v="-3.2400000000001228"/>
    <n v="-3.2822757111598613E-3"/>
    <n v="-2.1600000000001458"/>
    <n v="-2.1881838074399723E-3"/>
    <x v="1"/>
    <x v="1"/>
    <s v=""/>
    <s v=""/>
    <n v="30.239999999999931"/>
    <n v="3.0634573304157475E-2"/>
    <n v="13.999999999999023"/>
    <n v="18.22"/>
    <s v=""/>
    <s v=""/>
    <s v=""/>
    <s v=""/>
    <s v=""/>
    <s v=""/>
    <s v=""/>
  </r>
  <r>
    <m/>
    <x v="39"/>
    <n v="0.57999999999999996"/>
    <n v="988.2"/>
    <d v="2026-01-14T00:00:00"/>
    <x v="2"/>
    <n v="6.5979119571120122E-4"/>
    <x v="11"/>
    <n v="0"/>
    <n v="18.3"/>
    <n v="18.14"/>
    <n v="18.84"/>
    <n v="54"/>
    <x v="0"/>
    <x v="0"/>
    <s v=""/>
    <s v=""/>
    <n v="-8.6400000000000077"/>
    <n v="-8.7431693989071108E-3"/>
    <x v="1"/>
    <x v="1"/>
    <s v=""/>
    <s v=""/>
    <n v="29.159999999999954"/>
    <n v="2.9508196721311428E-2"/>
    <n v="3.3749999999999916"/>
    <n v="18.399999999999999"/>
    <n v="3"/>
    <s v=""/>
    <n v="1.4332965821389099E-2"/>
    <n v="-2.3354564755838747E-2"/>
    <n v="1.6294300179650683"/>
    <n v="5.3999999999997872"/>
    <n v="5.4644808743167239E-3"/>
  </r>
  <r>
    <n v="7"/>
    <x v="40"/>
    <e v="#N/A"/>
    <n v="997.52"/>
    <d v="2025-11-28T00:00:00"/>
    <x v="0"/>
    <e v="#N/A"/>
    <x v="15"/>
    <n v="18"/>
    <n v="13.48"/>
    <n v="13.1"/>
    <n v="14.65"/>
    <n v="74"/>
    <x v="7"/>
    <x v="3"/>
    <n v="-28.120000000000058"/>
    <n v="-2.8189910979228544E-2"/>
    <n v="-28.120000000000058"/>
    <n v="-2.8189910979228544E-2"/>
    <x v="1"/>
    <x v="1"/>
    <s v=""/>
    <s v=""/>
    <n v="86.58"/>
    <n v="8.6795252225519287E-2"/>
    <n v="3.0789473684210464"/>
    <n v="13.1"/>
    <s v=""/>
    <s v=""/>
    <s v=""/>
    <s v=""/>
    <s v=""/>
    <s v=""/>
    <s v=""/>
  </r>
  <r>
    <m/>
    <x v="41"/>
    <n v="0.56999999999999995"/>
    <n v="999.73500000000001"/>
    <d v="2026-01-11T00:00:00"/>
    <x v="2"/>
    <n v="1.9389506058974826E-3"/>
    <x v="10"/>
    <n v="1"/>
    <n v="13.695"/>
    <n v="13.36"/>
    <n v="14.195"/>
    <n v="73"/>
    <x v="0"/>
    <x v="0"/>
    <s v=""/>
    <s v=""/>
    <n v="-24.455000000000062"/>
    <n v="-2.4461482292807656E-2"/>
    <x v="1"/>
    <x v="1"/>
    <s v=""/>
    <s v=""/>
    <n v="36.5"/>
    <n v="3.6509675063891932E-2"/>
    <n v="1.4925373134328319"/>
    <n v="13.89"/>
    <n v="5"/>
    <s v=""/>
    <n v="3.9670658682634752E-2"/>
    <n v="-2.1486438886932024E-2"/>
    <n v="0.54162042175360692"/>
    <n v="14.234999999999996"/>
    <n v="1.4238773274917849E-2"/>
  </r>
  <r>
    <m/>
    <x v="42"/>
    <n v="0.54"/>
    <n v="946.14"/>
    <d v="2026-01-10T00:00:00"/>
    <x v="1"/>
    <n v="9.9568363023864841E-3"/>
    <x v="1"/>
    <s v=""/>
    <n v="315.38"/>
    <n v="308.60000000000002"/>
    <n v="386.23"/>
    <n v="3"/>
    <x v="0"/>
    <x v="0"/>
    <s v=""/>
    <s v=""/>
    <n v="-20.339999999999918"/>
    <n v="-2.149787557866692E-2"/>
    <x v="1"/>
    <x v="1"/>
    <s v=""/>
    <s v=""/>
    <n v="212.55000000000007"/>
    <n v="0.22464962901896132"/>
    <n v="10.449852507374677"/>
    <n v="343.75"/>
    <s v=""/>
    <n v="8.9954974950853028E-2"/>
    <n v="0.11390149060272181"/>
    <n v="-0.10998627760660751"/>
    <n v="0.96562632345374466"/>
    <s v=""/>
    <s v=""/>
  </r>
  <r>
    <n v="9"/>
    <x v="43"/>
    <e v="#N/A"/>
    <n v="1036.8"/>
    <d v="2025-12-02T00:00:00"/>
    <x v="0"/>
    <e v="#N/A"/>
    <x v="16"/>
    <n v="13"/>
    <n v="57.6"/>
    <n v="55.3"/>
    <n v="59.1"/>
    <n v="18"/>
    <x v="8"/>
    <x v="6"/>
    <n v="-45.719999999999985"/>
    <n v="-4.4097222222222211E-2"/>
    <n v="-41.400000000000077"/>
    <n v="-3.9930555555555629E-2"/>
    <x v="1"/>
    <x v="1"/>
    <s v=""/>
    <s v=""/>
    <n v="27"/>
    <n v="2.6041666666666668E-2"/>
    <n v="0.65217391304347705"/>
    <n v="55.06"/>
    <s v=""/>
    <s v=""/>
    <s v=""/>
    <s v=""/>
    <s v=""/>
    <s v=""/>
    <s v=""/>
  </r>
  <r>
    <m/>
    <x v="44"/>
    <n v="0.54"/>
    <n v="1022.76"/>
    <d v="2026-01-11T00:00:00"/>
    <x v="2"/>
    <n v="3.8156112267680787E-3"/>
    <x v="10"/>
    <n v="1"/>
    <n v="56.82"/>
    <n v="55.84"/>
    <n v="59.1"/>
    <n v="18"/>
    <x v="0"/>
    <x v="0"/>
    <s v=""/>
    <s v=""/>
    <n v="-17.639999999999944"/>
    <n v="-1.7247448081661333E-2"/>
    <x v="1"/>
    <x v="1"/>
    <s v=""/>
    <s v=""/>
    <n v="41.04000000000002"/>
    <n v="4.0126715945089778E-2"/>
    <n v="2.3265306122449068"/>
    <n v="58.56"/>
    <n v="5"/>
    <s v=""/>
    <n v="4.871060171919761E-2"/>
    <n v="-9.1370558375634126E-3"/>
    <n v="0.18757838160644927"/>
    <n v="31.319999999999958"/>
    <n v="3.0623020063357931E-2"/>
  </r>
  <r>
    <m/>
    <x v="45"/>
    <n v="0.59"/>
    <n v="1011.6299999999999"/>
    <d v="2026-01-07T00:00:00"/>
    <x v="1"/>
    <n v="5.2352858280799493E-3"/>
    <x v="1"/>
    <s v=""/>
    <n v="337.21"/>
    <n v="328.81"/>
    <n v="361.91"/>
    <n v="3"/>
    <x v="0"/>
    <x v="0"/>
    <s v=""/>
    <s v=""/>
    <n v="-25.199999999999932"/>
    <n v="-2.4910293289048303E-2"/>
    <x v="1"/>
    <x v="1"/>
    <s v=""/>
    <s v=""/>
    <n v="74.100000000000136"/>
    <n v="7.3248124314225699E-2"/>
    <n v="2.940476190476204"/>
    <n v="367.38"/>
    <s v=""/>
    <n v="8.9469470063165524E-2"/>
    <n v="0.11730178522551005"/>
    <n v="1.5114254925257642E-2"/>
    <n v="-0.1288493171369969"/>
    <s v=""/>
    <s v=""/>
  </r>
  <r>
    <m/>
    <x v="46"/>
    <n v="0.64"/>
    <n v="937.37999999999988"/>
    <d v="2026-01-10T00:00:00"/>
    <x v="1"/>
    <n v="6.4025706755210804E-5"/>
    <x v="1"/>
    <s v=""/>
    <n v="312.45999999999998"/>
    <n v="295"/>
    <n v="338.51"/>
    <n v="3"/>
    <x v="0"/>
    <x v="0"/>
    <s v=""/>
    <s v=""/>
    <n v="-52.379999999999939"/>
    <n v="-5.5879152531523979E-2"/>
    <x v="1"/>
    <x v="1"/>
    <s v=""/>
    <s v=""/>
    <n v="78.150000000000034"/>
    <n v="8.3370671445945121E-2"/>
    <n v="1.491981672394046"/>
    <n v="330.34"/>
    <s v=""/>
    <n v="5.7223324585546909E-2"/>
    <n v="0.11979661016949139"/>
    <n v="-2.4135180644589527E-2"/>
    <n v="0.20146797651822065"/>
    <s v=""/>
    <s v=""/>
  </r>
  <r>
    <n v="11"/>
    <x v="47"/>
    <e v="#N/A"/>
    <n v="954.80000000000007"/>
    <d v="2025-11-28T00:00:00"/>
    <x v="0"/>
    <e v="#N/A"/>
    <x v="17"/>
    <n v="0"/>
    <n v="68.2"/>
    <n v="60"/>
    <n v="86"/>
    <n v="14"/>
    <x v="0"/>
    <x v="0"/>
    <s v=""/>
    <s v=""/>
    <n v="-114.80000000000004"/>
    <n v="-0.12023460410557188"/>
    <x v="7"/>
    <x v="8"/>
    <n v="249.19999999999996"/>
    <n v="0.26099706744868029"/>
    <n v="249.19999999999996"/>
    <n v="0.26099706744868029"/>
    <n v="2.170731707317072"/>
    <n v="86"/>
    <s v=""/>
    <s v=""/>
    <s v=""/>
    <s v=""/>
    <s v=""/>
    <s v=""/>
    <s v=""/>
  </r>
  <r>
    <m/>
    <x v="48"/>
    <n v="0.5"/>
    <n v="1115.8"/>
    <d v="2026-01-11T00:00:00"/>
    <x v="1"/>
    <n v="1.7324514068646567E-2"/>
    <x v="1"/>
    <s v=""/>
    <n v="79.7"/>
    <n v="77.599999999999994"/>
    <n v="86"/>
    <n v="14"/>
    <x v="0"/>
    <x v="0"/>
    <s v=""/>
    <s v=""/>
    <n v="-29.400000000000119"/>
    <n v="-2.6348808030113031E-2"/>
    <x v="1"/>
    <x v="1"/>
    <s v=""/>
    <s v=""/>
    <n v="88.19999999999996"/>
    <n v="7.9046424090338741E-2"/>
    <n v="2.9999999999999867"/>
    <n v="91.5"/>
    <s v=""/>
    <n v="0.14805520702634878"/>
    <n v="0.17912371134020622"/>
    <n v="6.3953488372092915E-2"/>
    <n v="-0.35703530199096473"/>
    <s v=""/>
    <s v=""/>
  </r>
  <r>
    <m/>
    <x v="49"/>
    <e v="#N/A"/>
    <n v="1016.95"/>
    <d v="2026-01-10T00:00:00"/>
    <x v="2"/>
    <n v="2.0777945112482542E-3"/>
    <x v="10"/>
    <n v="2"/>
    <n v="92.45"/>
    <n v="79.75"/>
    <n v="116.2"/>
    <n v="11"/>
    <x v="0"/>
    <x v="0"/>
    <s v=""/>
    <s v=""/>
    <n v="-139.70000000000005"/>
    <n v="-0.13737155219037323"/>
    <x v="1"/>
    <x v="1"/>
    <s v=""/>
    <s v=""/>
    <n v="261.25"/>
    <n v="0.25689561925365062"/>
    <n v="1.8700787401574797"/>
    <n v="92.6"/>
    <n v="5"/>
    <s v=""/>
    <n v="0.16112852664576804"/>
    <n v="-0.20309810671256456"/>
    <n v="1.260472685628562"/>
    <n v="1.6499999999998403"/>
    <n v="1.6224986479176362E-3"/>
  </r>
  <r>
    <m/>
    <x v="50"/>
    <n v="0.56000000000000005"/>
    <n v="990"/>
    <d v="2026-01-02T00:00:00"/>
    <x v="1"/>
    <n v="1.6767638003747011E-2"/>
    <x v="1"/>
    <s v=""/>
    <n v="330"/>
    <n v="305.85000000000002"/>
    <n v="375"/>
    <n v="3"/>
    <x v="0"/>
    <x v="0"/>
    <s v=""/>
    <s v=""/>
    <n v="-72.449999999999932"/>
    <n v="-7.3181818181818112E-2"/>
    <x v="1"/>
    <x v="1"/>
    <s v=""/>
    <s v=""/>
    <n v="135"/>
    <n v="0.13636363636363635"/>
    <n v="1.8633540372670825"/>
    <n v="425.9"/>
    <s v=""/>
    <n v="0.29060606060606053"/>
    <n v="0.39251266960928533"/>
    <n v="0.13573333333333326"/>
    <n v="-0.34580624739691801"/>
    <s v=""/>
    <s v=""/>
  </r>
  <r>
    <m/>
    <x v="51"/>
    <n v="0.5"/>
    <n v="993.21999999999991"/>
    <d v="2026-01-04T00:00:00"/>
    <x v="1"/>
    <n v="-1.3863111157797815E-3"/>
    <x v="1"/>
    <s v=""/>
    <n v="18.739999999999998"/>
    <n v="18.14"/>
    <n v="21.3"/>
    <n v="53"/>
    <x v="0"/>
    <x v="0"/>
    <s v=""/>
    <s v=""/>
    <n v="-31.799999999999887"/>
    <n v="-3.2017075773745886E-2"/>
    <x v="1"/>
    <x v="1"/>
    <s v=""/>
    <s v=""/>
    <n v="135.68000000000012"/>
    <n v="0.13660618996798304"/>
    <n v="4.2666666666666853"/>
    <n v="19.36"/>
    <s v=""/>
    <n v="3.3084311632870955E-2"/>
    <n v="6.725468577728777E-2"/>
    <n v="-9.1079812206572797E-2"/>
    <n v="1.3542522896944511"/>
    <s v=""/>
    <s v=""/>
  </r>
  <r>
    <n v="21"/>
    <x v="52"/>
    <e v="#N/A"/>
    <n v="974.35"/>
    <d v="2026-01-04T00:00:00"/>
    <x v="0"/>
    <e v="#N/A"/>
    <x v="2"/>
    <n v="1"/>
    <n v="194.87"/>
    <n v="192.15"/>
    <n v="208.59"/>
    <n v="5"/>
    <x v="0"/>
    <x v="0"/>
    <s v=""/>
    <s v=""/>
    <n v="-13.599999999999994"/>
    <n v="-1.3958023297582998E-2"/>
    <x v="8"/>
    <x v="9"/>
    <n v="68.599999999999994"/>
    <n v="7.0405911633396615E-2"/>
    <n v="68.599999999999994"/>
    <n v="7.0405911633396615E-2"/>
    <n v="5.0441176470588251"/>
    <n v="208.59"/>
    <s v=""/>
    <s v=""/>
    <s v=""/>
    <s v=""/>
    <s v=""/>
    <s v=""/>
    <s v=""/>
  </r>
  <r>
    <m/>
    <x v="53"/>
    <n v="0.54"/>
    <n v="1004.75"/>
    <d v="2026-01-11T00:00:00"/>
    <x v="1"/>
    <n v="1.0871371314664247E-2"/>
    <x v="1"/>
    <s v=""/>
    <n v="200.95"/>
    <n v="197.82"/>
    <n v="209.38"/>
    <n v="5"/>
    <x v="0"/>
    <x v="0"/>
    <s v=""/>
    <s v=""/>
    <n v="-15.649999999999977"/>
    <n v="-1.5576013933814359E-2"/>
    <x v="1"/>
    <x v="1"/>
    <s v=""/>
    <s v=""/>
    <n v="42.150000000000034"/>
    <n v="4.1950734013436214E-2"/>
    <n v="2.6932907348242874"/>
    <n v="219.39"/>
    <s v=""/>
    <n v="9.1764120427967111E-2"/>
    <n v="0.10903851986654534"/>
    <n v="4.7807813544751054E-2"/>
    <n v="-0.43844884911556115"/>
    <s v=""/>
    <s v=""/>
  </r>
  <r>
    <m/>
    <x v="54"/>
    <n v="0.54"/>
    <n v="998.41700000000003"/>
    <d v="2026-01-12T00:00:00"/>
    <x v="2"/>
    <n v="-4.0127126448119554E-4"/>
    <x v="14"/>
    <n v="1"/>
    <n v="4.601"/>
    <n v="4.3630000000000004"/>
    <n v="5.0419999999999998"/>
    <n v="217"/>
    <x v="0"/>
    <x v="0"/>
    <s v=""/>
    <s v=""/>
    <n v="-51.645999999999901"/>
    <n v="-5.1727885242338519E-2"/>
    <x v="1"/>
    <x v="1"/>
    <s v=""/>
    <s v=""/>
    <n v="95.69699999999996"/>
    <n v="9.5848728537274469E-2"/>
    <n v="1.852941176470591"/>
    <n v="4.74"/>
    <n v="4"/>
    <s v=""/>
    <n v="8.640843456337377E-2"/>
    <n v="-5.989686632288771E-2"/>
    <n v="0.69318309752456031"/>
    <n v="30.163000000000007"/>
    <n v="3.0210823733970882E-2"/>
  </r>
  <r>
    <m/>
    <x v="55"/>
    <n v="0.56999999999999995"/>
    <n v="1006.335"/>
    <d v="2026-01-04T00:00:00"/>
    <x v="1"/>
    <n v="1.1198435317757659E-3"/>
    <x v="1"/>
    <s v=""/>
    <n v="17.655000000000001"/>
    <n v="17.16"/>
    <n v="19.125"/>
    <n v="57"/>
    <x v="0"/>
    <x v="0"/>
    <s v=""/>
    <s v=""/>
    <n v="-28.215000000000057"/>
    <n v="-2.8037383177570149E-2"/>
    <x v="1"/>
    <x v="1"/>
    <s v=""/>
    <s v=""/>
    <n v="83.789999999999935"/>
    <n v="8.3262531860662639E-2"/>
    <n v="2.9696969696969613"/>
    <n v="18.57"/>
    <s v=""/>
    <n v="5.1826677994902148E-2"/>
    <n v="8.2167832167832078E-2"/>
    <n v="-2.9019607843137285E-2"/>
    <n v="0.3531748018356286"/>
    <s v=""/>
    <s v=""/>
  </r>
  <r>
    <n v="17"/>
    <x v="56"/>
    <e v="#N/A"/>
    <n v="1040.98"/>
    <d v="2025-12-05T00:00:00"/>
    <x v="0"/>
    <e v="#N/A"/>
    <x v="18"/>
    <n v="-9"/>
    <n v="45.26"/>
    <n v="38"/>
    <n v="60"/>
    <n v="23"/>
    <x v="0"/>
    <x v="0"/>
    <s v=""/>
    <s v=""/>
    <n v="-166.97999999999996"/>
    <n v="-0.16040653999116214"/>
    <x v="5"/>
    <x v="10"/>
    <n v="339.02000000000004"/>
    <n v="0.32567388422448079"/>
    <n v="339.02000000000004"/>
    <n v="0.32567388422448079"/>
    <n v="2.0303030303030312"/>
    <n v="60"/>
    <s v=""/>
    <s v=""/>
    <s v=""/>
    <s v=""/>
    <s v=""/>
    <s v=""/>
    <s v=""/>
  </r>
  <r>
    <m/>
    <x v="57"/>
    <n v="0.5"/>
    <n v="1179.8999999999999"/>
    <d v="2026-01-11T00:00:00"/>
    <x v="1"/>
    <n v="-3.0110565986155358E-3"/>
    <x v="1"/>
    <s v=""/>
    <n v="51.3"/>
    <n v="46.22"/>
    <n v="60"/>
    <n v="23"/>
    <x v="0"/>
    <x v="0"/>
    <s v=""/>
    <s v=""/>
    <n v="-116.83999999999996"/>
    <n v="-9.9025341130604266E-2"/>
    <x v="1"/>
    <x v="1"/>
    <s v=""/>
    <s v=""/>
    <n v="200.10000000000008"/>
    <n v="0.16959064327485388"/>
    <n v="1.7125984251968516"/>
    <n v="58.25"/>
    <s v=""/>
    <n v="0.13547758284600397"/>
    <n v="0.26027693639117278"/>
    <n v="-2.9166666666666674E-2"/>
    <n v="0.11206012745912992"/>
    <s v=""/>
    <s v=""/>
  </r>
  <r>
    <n v="15"/>
    <x v="58"/>
    <e v="#N/A"/>
    <n v="996.02399999999989"/>
    <d v="2026-01-04T00:00:00"/>
    <x v="0"/>
    <e v="#N/A"/>
    <x v="2"/>
    <n v="1"/>
    <n v="1.1279999999999999"/>
    <n v="1.1100000000000001"/>
    <n v="1.224"/>
    <n v="883"/>
    <x v="9"/>
    <x v="7"/>
    <n v="-15.893999999999817"/>
    <n v="-1.5957446808510457E-2"/>
    <n v="-15.893999999999817"/>
    <n v="-1.5957446808510457E-2"/>
    <x v="1"/>
    <x v="1"/>
    <s v=""/>
    <s v=""/>
    <n v="84.768000000000072"/>
    <n v="8.5106382978723485E-2"/>
    <n v="5.3333333333333988"/>
    <n v="1.1100000000000001"/>
    <s v=""/>
    <s v=""/>
    <s v=""/>
    <s v=""/>
    <s v=""/>
    <s v=""/>
    <s v=""/>
  </r>
  <r>
    <m/>
    <x v="59"/>
    <n v="0.5"/>
    <n v="980.13000000000011"/>
    <d v="2026-01-11T00:00:00"/>
    <x v="2"/>
    <n v="1.8018018018017389E-3"/>
    <x v="10"/>
    <n v="1"/>
    <n v="1.1100000000000001"/>
    <n v="1.0960000000000001"/>
    <n v="1.1619999999999999"/>
    <n v="883"/>
    <x v="0"/>
    <x v="0"/>
    <s v=""/>
    <s v=""/>
    <n v="-12.362000000000011"/>
    <n v="-1.2612612612612623E-2"/>
    <x v="1"/>
    <x v="1"/>
    <s v=""/>
    <s v=""/>
    <n v="45.915999999999848"/>
    <n v="4.6846846846846688E-2"/>
    <n v="3.7142857142856989"/>
    <n v="1.1299999999999999"/>
    <n v="5"/>
    <s v=""/>
    <n v="3.1021897810218801E-2"/>
    <n v="-2.7538726333907082E-2"/>
    <n v="0.8877189429988922"/>
    <n v="17.659999999999823"/>
    <n v="1.8018018018017834E-2"/>
  </r>
  <r>
    <m/>
    <x v="60"/>
    <n v="0.56000000000000005"/>
    <n v="988.6"/>
    <d v="2026-01-07T00:00:00"/>
    <x v="1"/>
    <n v="-1.6911348010178128E-3"/>
    <x v="1"/>
    <s v=""/>
    <n v="49.43"/>
    <n v="45.58"/>
    <n v="56.8"/>
    <n v="20"/>
    <x v="0"/>
    <x v="0"/>
    <s v=""/>
    <s v=""/>
    <n v="-77.000000000000028"/>
    <n v="-7.7887922314384003E-2"/>
    <x v="1"/>
    <x v="1"/>
    <s v=""/>
    <s v=""/>
    <n v="147.39999999999995"/>
    <n v="0.14909973700182069"/>
    <n v="1.9142857142857128"/>
    <n v="58.88"/>
    <s v=""/>
    <n v="0.19117944568076073"/>
    <n v="0.2917946467749013"/>
    <n v="3.6619718309859328E-2"/>
    <n v="-0.12549825267393894"/>
    <s v=""/>
    <s v=""/>
  </r>
  <r>
    <m/>
    <x v="61"/>
    <n v="0.56000000000000005"/>
    <n v="898.14"/>
    <d v="2026-01-04T00:00:00"/>
    <x v="1"/>
    <n v="4.3412039065711117E-3"/>
    <x v="1"/>
    <s v=""/>
    <n v="299.38"/>
    <n v="292.45999999999998"/>
    <n v="312.94"/>
    <n v="3"/>
    <x v="0"/>
    <x v="0"/>
    <s v=""/>
    <s v=""/>
    <n v="-20.760000000000048"/>
    <n v="-2.3114436502104402E-2"/>
    <x v="1"/>
    <x v="1"/>
    <s v=""/>
    <s v=""/>
    <n v="40.680000000000007"/>
    <n v="4.5293606787360552E-2"/>
    <n v="1.9595375722543311"/>
    <n v="346.46"/>
    <s v=""/>
    <n v="0.15725833389003929"/>
    <n v="0.18464063461669977"/>
    <n v="0.10711318463603248"/>
    <n v="-0.58011707367877874"/>
    <s v=""/>
    <s v=""/>
  </r>
  <r>
    <m/>
    <x v="62"/>
    <n v="0.63"/>
    <n v="1064.99"/>
    <d v="2026-01-02T00:00:00"/>
    <x v="2"/>
    <n v="-5.9632716610349855E-3"/>
    <x v="19"/>
    <n v="0"/>
    <n v="1064.99"/>
    <n v="995"/>
    <n v="1200"/>
    <n v="1"/>
    <x v="0"/>
    <x v="0"/>
    <s v=""/>
    <s v=""/>
    <n v="-69.990000000000009"/>
    <n v="-6.5718926938281116E-2"/>
    <x v="1"/>
    <x v="1"/>
    <s v=""/>
    <s v=""/>
    <n v="135.01"/>
    <n v="0.12677114339101775"/>
    <n v="1.9289898556936702"/>
    <n v="1038.4000000000001"/>
    <n v="15"/>
    <s v=""/>
    <n v="4.3618090452261393E-2"/>
    <n v="-0.1346666666666666"/>
    <n v="3.0874039938555993"/>
    <n v="-26.589999999999943"/>
    <n v="-2.4967370585639248E-2"/>
  </r>
  <r>
    <m/>
    <x v="63"/>
    <n v="0.59"/>
    <n v="905.02"/>
    <d v="2026-01-10T00:00:00"/>
    <x v="1"/>
    <n v="1.4697369960815321E-2"/>
    <x v="1"/>
    <s v=""/>
    <n v="452.51"/>
    <n v="437.49"/>
    <n v="535.34"/>
    <n v="2"/>
    <x v="0"/>
    <x v="0"/>
    <s v=""/>
    <s v=""/>
    <n v="-30.039999999999964"/>
    <n v="-3.3192636626814841E-2"/>
    <x v="1"/>
    <x v="1"/>
    <s v=""/>
    <s v=""/>
    <n v="165.66000000000008"/>
    <n v="0.18304567854854045"/>
    <n v="5.5146471371504751"/>
    <n v="582.42999999999995"/>
    <s v=""/>
    <n v="0.28710967713420699"/>
    <n v="0.33129900112002542"/>
    <n v="8.7962790002614977E-2"/>
    <n v="-0.26550876913373844"/>
    <s v=""/>
    <s v=""/>
  </r>
  <r>
    <m/>
    <x v="64"/>
    <n v="0.5"/>
    <n v="996"/>
    <d v="2025-11-27T00:00:00"/>
    <x v="2"/>
    <n v="1.007109565181108E-3"/>
    <x v="4"/>
    <n v="-8"/>
    <n v="3.984"/>
    <n v="3.8"/>
    <n v="4.4939999999999998"/>
    <n v="250"/>
    <x v="0"/>
    <x v="0"/>
    <s v=""/>
    <s v=""/>
    <n v="-46.000000000000043"/>
    <n v="-4.6184738955823333E-2"/>
    <x v="1"/>
    <x v="1"/>
    <s v=""/>
    <s v=""/>
    <n v="127.49999999999994"/>
    <n v="0.12801204819277104"/>
    <n v="2.7717391304347787"/>
    <n v="4.25"/>
    <n v="59"/>
    <s v=""/>
    <n v="0.11842105263157898"/>
    <n v="-5.4294615042278505E-2"/>
    <n v="0.45848786035701833"/>
    <n v="66.499999999999943"/>
    <n v="6.6767068273092312E-2"/>
  </r>
  <r>
    <n v="34"/>
    <x v="65"/>
    <e v="#N/A"/>
    <n v="999.18"/>
    <d v="2026-01-02T00:00:00"/>
    <x v="0"/>
    <e v="#N/A"/>
    <x v="2"/>
    <n v="3"/>
    <n v="7.93"/>
    <n v="7.75"/>
    <n v="8.2850000000000001"/>
    <n v="126"/>
    <x v="10"/>
    <x v="8"/>
    <n v="-23.309999999999953"/>
    <n v="-2.3329129886506889E-2"/>
    <n v="-22.679999999999964"/>
    <n v="-2.2698612862547256E-2"/>
    <x v="1"/>
    <x v="1"/>
    <s v=""/>
    <s v=""/>
    <n v="44.730000000000054"/>
    <n v="4.4766708701134986E-2"/>
    <n v="1.9722222222222276"/>
    <n v="7.7450000000000001"/>
    <s v=""/>
    <s v=""/>
    <s v=""/>
    <s v=""/>
    <s v=""/>
    <s v=""/>
    <s v=""/>
  </r>
  <r>
    <m/>
    <x v="66"/>
    <n v="0.54"/>
    <n v="997.12"/>
    <d v="2026-01-15T00:00:00"/>
    <x v="2"/>
    <n v="-4.7715563553029083E-3"/>
    <x v="12"/>
    <n v="1"/>
    <n v="7.79"/>
    <n v="7.6"/>
    <n v="8.18"/>
    <n v="128"/>
    <x v="0"/>
    <x v="0"/>
    <s v=""/>
    <s v=""/>
    <n v="-24.32000000000005"/>
    <n v="-2.4390243902439074E-2"/>
    <x v="1"/>
    <x v="1"/>
    <s v=""/>
    <s v=""/>
    <n v="49.919999999999959"/>
    <n v="5.00641848523748E-2"/>
    <n v="2.0526315789473624"/>
    <n v="7.78"/>
    <n v="1"/>
    <s v=""/>
    <n v="2.3684210526315974E-2"/>
    <n v="-4.8899755501222386E-2"/>
    <n v="2.0646563433849292"/>
    <n v="-1.2799999999999663"/>
    <n v="-1.2836970474967568E-3"/>
  </r>
  <r>
    <n v="32"/>
    <x v="67"/>
    <e v="#N/A"/>
    <n v="1289.98"/>
    <d v="2026-01-03T00:00:00"/>
    <x v="0"/>
    <e v="#N/A"/>
    <x v="20"/>
    <n v="4"/>
    <n v="644.99"/>
    <n v="620"/>
    <n v="710"/>
    <n v="2"/>
    <x v="11"/>
    <x v="9"/>
    <n v="-50.039999999999964"/>
    <n v="-3.8791299089908339E-2"/>
    <n v="-49.980000000000018"/>
    <n v="-3.8744786740879715E-2"/>
    <x v="1"/>
    <x v="1"/>
    <s v=""/>
    <s v=""/>
    <n v="130.01999999999998"/>
    <n v="0.10079226034512162"/>
    <n v="2.6014405762304911"/>
    <n v="619.97"/>
    <s v=""/>
    <s v=""/>
    <s v=""/>
    <s v=""/>
    <s v=""/>
    <s v=""/>
    <s v=""/>
  </r>
  <r>
    <m/>
    <x v="68"/>
    <n v="0.62"/>
    <n v="1201.26"/>
    <d v="2026-01-14T00:00:00"/>
    <x v="2"/>
    <n v="-8.5241822449508182E-3"/>
    <x v="11"/>
    <n v="0"/>
    <n v="600.63"/>
    <n v="577.28"/>
    <n v="705.31"/>
    <n v="2"/>
    <x v="0"/>
    <x v="0"/>
    <s v=""/>
    <s v=""/>
    <n v="-46.700000000000045"/>
    <n v="-3.8875847027288052E-2"/>
    <x v="1"/>
    <x v="1"/>
    <s v=""/>
    <s v=""/>
    <n v="209.3599999999999"/>
    <n v="0.17428366881441146"/>
    <n v="4.4830835117772958"/>
    <n v="620.25"/>
    <n v="3"/>
    <s v=""/>
    <n v="7.4435282705099803E-2"/>
    <n v="-0.12059945272291606"/>
    <n v="1.6201920425386307"/>
    <n v="39.239999999999903"/>
    <n v="3.2665701013935289E-2"/>
  </r>
  <r>
    <m/>
    <x v="69"/>
    <n v="0.5"/>
    <n v="1038.433"/>
    <d v="2026-01-07T00:00:00"/>
    <x v="1"/>
    <n v="-1.5791010871071265E-3"/>
    <x v="1"/>
    <s v=""/>
    <n v="94.403000000000006"/>
    <n v="92.683000000000007"/>
    <n v="96.884"/>
    <n v="11"/>
    <x v="0"/>
    <x v="0"/>
    <s v=""/>
    <s v=""/>
    <n v="-18.919999999999987"/>
    <n v="-1.8219759965255329E-2"/>
    <x v="1"/>
    <x v="1"/>
    <s v=""/>
    <s v=""/>
    <n v="27.29099999999994"/>
    <n v="2.6280944461510698E-2"/>
    <n v="1.4424418604651141"/>
    <n v="96.02"/>
    <s v=""/>
    <n v="1.7128692944080148E-2"/>
    <n v="3.600444525964841E-2"/>
    <n v="-8.9178811774907052E-3"/>
    <n v="0.24768833718111255"/>
    <s v=""/>
    <s v=""/>
  </r>
  <r>
    <m/>
    <x v="70"/>
    <n v="0.5"/>
    <n v="1005.6700000000001"/>
    <d v="2026-01-07T00:00:00"/>
    <x v="2"/>
    <n v="-2.0428790259315877E-3"/>
    <x v="20"/>
    <n v="0"/>
    <n v="12.73"/>
    <n v="11.78"/>
    <n v="13.83"/>
    <n v="79"/>
    <x v="0"/>
    <x v="0"/>
    <s v=""/>
    <s v=""/>
    <n v="-75.050000000000082"/>
    <n v="-7.4626865671641868E-2"/>
    <x v="1"/>
    <x v="1"/>
    <s v=""/>
    <s v=""/>
    <n v="86.899999999999977"/>
    <n v="8.6410054988216786E-2"/>
    <n v="1.1578947368421038"/>
    <n v="12.49"/>
    <n v="10"/>
    <s v=""/>
    <n v="6.0271646859083372E-2"/>
    <n v="-9.6890817064352874E-2"/>
    <n v="1.6075687676310895"/>
    <n v="-18.960000000000061"/>
    <n v="-1.8853102906520092E-2"/>
  </r>
  <r>
    <m/>
    <x v="71"/>
    <n v="0.66"/>
    <n v="933.48"/>
    <d v="2026-01-05T00:00:00"/>
    <x v="1"/>
    <n v="-8.0353059760932769E-3"/>
    <x v="1"/>
    <s v=""/>
    <n v="466.74"/>
    <n v="454.75"/>
    <n v="543.36"/>
    <n v="2"/>
    <x v="0"/>
    <x v="0"/>
    <s v=""/>
    <s v=""/>
    <n v="-23.980000000000018"/>
    <n v="-2.5688820328234153E-2"/>
    <x v="1"/>
    <x v="1"/>
    <s v=""/>
    <s v=""/>
    <n v="153.24"/>
    <n v="0.16415991772721431"/>
    <n v="6.3903252710592113"/>
    <n v="459.86"/>
    <s v=""/>
    <n v="-1.4740540772164357E-2"/>
    <n v="1.123694337548109E-2"/>
    <n v="-0.15367343934040045"/>
    <n v="13.675733178091342"/>
    <s v=""/>
    <s v=""/>
  </r>
  <r>
    <m/>
    <x v="72"/>
    <n v="0.54"/>
    <n v="1018.9"/>
    <d v="2026-01-10T00:00:00"/>
    <x v="1"/>
    <n v="2.7506529127017789E-3"/>
    <x v="1"/>
    <s v=""/>
    <n v="44.3"/>
    <n v="43.32"/>
    <n v="49.86"/>
    <n v="23"/>
    <x v="0"/>
    <x v="0"/>
    <s v=""/>
    <s v=""/>
    <n v="-22.539999999999928"/>
    <n v="-2.2121896162528146E-2"/>
    <x v="1"/>
    <x v="1"/>
    <s v=""/>
    <s v=""/>
    <n v="127.88000000000005"/>
    <n v="0.12550790067720097"/>
    <n v="5.6734693877551221"/>
    <n v="48.73"/>
    <s v=""/>
    <n v="0.10000000000000009"/>
    <n v="0.12488457987072943"/>
    <n v="-2.2663457681508237E-2"/>
    <n v="0.18147522860682755"/>
    <s v=""/>
    <s v=""/>
  </r>
  <r>
    <m/>
    <x v="73"/>
    <n v="0.5"/>
    <n v="1088.0999999999999"/>
    <d v="2026-01-10T00:00:00"/>
    <x v="1"/>
    <n v="1.1722527269961481E-3"/>
    <x v="1"/>
    <s v=""/>
    <n v="362.7"/>
    <n v="343"/>
    <n v="398.5"/>
    <n v="3"/>
    <x v="0"/>
    <x v="0"/>
    <s v=""/>
    <s v=""/>
    <n v="-59.099999999999966"/>
    <n v="-5.4314860766473641E-2"/>
    <x v="1"/>
    <x v="1"/>
    <s v=""/>
    <s v=""/>
    <n v="107.40000000000003"/>
    <n v="9.8704163220292296E-2"/>
    <n v="1.8172588832487326"/>
    <n v="386.2"/>
    <s v=""/>
    <n v="6.4791838985387429E-2"/>
    <n v="0.1259475218658892"/>
    <n v="-3.0865746549560868E-2"/>
    <n v="0.24506831172452265"/>
    <s v=""/>
    <s v=""/>
  </r>
  <r>
    <m/>
    <x v="74"/>
    <n v="0.59"/>
    <n v="1162.52"/>
    <d v="2026-01-08T00:00:00"/>
    <x v="1"/>
    <n v="1.158118200038798E-2"/>
    <x v="1"/>
    <s v=""/>
    <n v="581.26"/>
    <n v="548.29"/>
    <n v="637.67999999999995"/>
    <n v="2"/>
    <x v="0"/>
    <x v="0"/>
    <s v=""/>
    <s v=""/>
    <n v="-65.940000000000055"/>
    <n v="-5.6721604789595065E-2"/>
    <x v="1"/>
    <x v="1"/>
    <s v=""/>
    <s v=""/>
    <n v="112.83999999999992"/>
    <n v="9.7064996731238959E-2"/>
    <n v="1.7112526539278106"/>
    <n v="666.9"/>
    <s v=""/>
    <n v="0.14733509961118951"/>
    <n v="0.21632712615586636"/>
    <n v="4.5822356040647438E-2"/>
    <n v="-0.21181974195705752"/>
    <s v=""/>
    <s v=""/>
  </r>
  <r>
    <n v="14"/>
    <x v="75"/>
    <e v="#N/A"/>
    <n v="980.4"/>
    <d v="2026-01-02T00:00:00"/>
    <x v="0"/>
    <e v="#N/A"/>
    <x v="2"/>
    <n v="3"/>
    <n v="25.8"/>
    <n v="25.7"/>
    <n v="27.62"/>
    <n v="38"/>
    <x v="9"/>
    <x v="7"/>
    <n v="-3.800000000000054"/>
    <n v="-3.875968992248117E-3"/>
    <n v="-3.800000000000054"/>
    <n v="-3.875968992248117E-3"/>
    <x v="1"/>
    <x v="1"/>
    <s v=""/>
    <s v=""/>
    <n v="69.160000000000011"/>
    <n v="7.0542635658914735E-2"/>
    <n v="18.199999999999743"/>
    <n v="25.7"/>
    <s v=""/>
    <s v=""/>
    <s v=""/>
    <s v=""/>
    <s v=""/>
    <s v=""/>
    <s v=""/>
  </r>
  <r>
    <n v="4"/>
    <x v="76"/>
    <e v="#N/A"/>
    <n v="1005.48"/>
    <d v="2025-11-25T00:00:00"/>
    <x v="0"/>
    <e v="#N/A"/>
    <x v="5"/>
    <n v="-1"/>
    <n v="26.46"/>
    <n v="25.8"/>
    <n v="28.8"/>
    <n v="38"/>
    <x v="12"/>
    <x v="10"/>
    <n v="-64.599999999999966"/>
    <n v="-6.4247921390778492E-2"/>
    <n v="-25.080000000000005"/>
    <n v="-2.4943310657596376E-2"/>
    <x v="1"/>
    <x v="1"/>
    <s v=""/>
    <s v=""/>
    <n v="88.919999999999987"/>
    <n v="8.8435374149659851E-2"/>
    <n v="3.5454545454545441"/>
    <n v="24.76"/>
    <s v=""/>
    <s v=""/>
    <s v=""/>
    <s v=""/>
    <s v=""/>
    <s v=""/>
    <s v=""/>
  </r>
  <r>
    <n v="27"/>
    <x v="77"/>
    <e v="#N/A"/>
    <n v="970.52"/>
    <d v="2026-01-13T00:00:00"/>
    <x v="0"/>
    <e v="#N/A"/>
    <x v="10"/>
    <n v="-1"/>
    <n v="25.54"/>
    <n v="25.16"/>
    <n v="27.34"/>
    <n v="38"/>
    <x v="3"/>
    <x v="2"/>
    <n v="-14.439999999999962"/>
    <n v="-1.4878621769772867E-2"/>
    <n v="-14.439999999999962"/>
    <n v="-1.4878621769772867E-2"/>
    <x v="1"/>
    <x v="1"/>
    <s v=""/>
    <s v=""/>
    <n v="68.400000000000034"/>
    <n v="7.0477682067345379E-2"/>
    <n v="4.7368421052631726"/>
    <n v="25.16"/>
    <s v=""/>
    <s v=""/>
    <s v=""/>
    <s v=""/>
    <s v=""/>
    <s v=""/>
    <s v=""/>
  </r>
  <r>
    <m/>
    <x v="78"/>
    <n v="0.56999999999999995"/>
    <n v="946.19999999999993"/>
    <d v="2026-01-13T00:00:00"/>
    <x v="1"/>
    <n v="2.4410664435816631E-3"/>
    <x v="1"/>
    <s v=""/>
    <n v="24.9"/>
    <n v="24.24"/>
    <n v="26.44"/>
    <n v="38"/>
    <x v="0"/>
    <x v="0"/>
    <s v=""/>
    <s v=""/>
    <n v="-25.080000000000005"/>
    <n v="-2.6506024096385548E-2"/>
    <x v="1"/>
    <x v="1"/>
    <s v=""/>
    <s v=""/>
    <n v="58.520000000000103"/>
    <n v="6.1847389558233046E-2"/>
    <n v="2.333333333333337"/>
    <n v="25.7"/>
    <s v=""/>
    <n v="3.2128514056224855E-2"/>
    <n v="6.0231023102310211E-2"/>
    <n v="-2.7987897125567374E-2"/>
    <n v="0.46467577145462557"/>
    <s v=""/>
    <s v=""/>
  </r>
  <r>
    <m/>
    <x v="79"/>
    <n v="0.57999999999999996"/>
    <n v="1073.28"/>
    <d v="2025-11-24T00:00:00"/>
    <x v="2"/>
    <n v="1.3520439842492848E-3"/>
    <x v="5"/>
    <n v="0"/>
    <n v="178.88"/>
    <n v="150"/>
    <n v="220"/>
    <n v="6"/>
    <x v="0"/>
    <x v="0"/>
    <s v=""/>
    <s v=""/>
    <n v="-173.27999999999997"/>
    <n v="-0.16144901610017887"/>
    <x v="1"/>
    <x v="1"/>
    <s v=""/>
    <s v=""/>
    <n v="246.72000000000003"/>
    <n v="0.22987477638640433"/>
    <n v="1.4238227146814408"/>
    <n v="186.23"/>
    <n v="54"/>
    <s v=""/>
    <n v="0.24153333333333316"/>
    <n v="-0.15350000000000008"/>
    <n v="0.63552304719845509"/>
    <n v="44.099999999999888"/>
    <n v="4.1088998211091132E-2"/>
  </r>
  <r>
    <m/>
    <x v="80"/>
    <n v="0.5"/>
    <n v="993.51"/>
    <d v="2026-01-10T00:00:00"/>
    <x v="1"/>
    <n v="-8.136522785121336E-4"/>
    <x v="1"/>
    <s v=""/>
    <n v="17.43"/>
    <n v="16.899999999999999"/>
    <n v="19.39"/>
    <n v="57"/>
    <x v="0"/>
    <x v="11"/>
    <m/>
    <m/>
    <n v="-30.210000000000065"/>
    <n v="-3.0407343660355773E-2"/>
    <x v="1"/>
    <x v="1"/>
    <s v=""/>
    <s v=""/>
    <n v="111.72000000000006"/>
    <n v="0.1124497991967872"/>
    <n v="3.6981132075471637"/>
    <n v="18"/>
    <s v=""/>
    <n v="3.2702237521514688E-2"/>
    <n v="6.5088757396449815E-2"/>
    <n v="-7.1686436307374923E-2"/>
    <n v="1.1013643396314856"/>
    <s v=""/>
    <s v=""/>
  </r>
  <r>
    <n v="1"/>
    <x v="81"/>
    <e v="#N/A"/>
    <n v="930.06599999999992"/>
    <d v="2025-11-21T00:00:00"/>
    <x v="0"/>
    <e v="#N/A"/>
    <x v="8"/>
    <n v="-3"/>
    <n v="0.40899999999999997"/>
    <n v="0.4"/>
    <n v="0.5"/>
    <n v="2274"/>
    <x v="13"/>
    <x v="8"/>
    <n v="-20.465999999999891"/>
    <n v="-2.2004889975550009E-2"/>
    <n v="-20.465999999999891"/>
    <n v="-2.2004889975550009E-2"/>
    <x v="1"/>
    <x v="1"/>
    <s v=""/>
    <s v=""/>
    <n v="206.93400000000005"/>
    <n v="0.22249388753056243"/>
    <n v="10.111111111111168"/>
    <n v="0.4"/>
    <s v=""/>
    <s v=""/>
    <s v=""/>
    <s v=""/>
    <s v=""/>
    <s v=""/>
    <s v=""/>
  </r>
  <r>
    <m/>
    <x v="82"/>
    <n v="0.48"/>
    <n v="834.92499999999995"/>
    <d v="2025-12-04T00:00:00"/>
    <x v="2"/>
    <n v="-5.255255255255253E-3"/>
    <x v="21"/>
    <n v="4"/>
    <n v="0.36699999999999999"/>
    <n v="0.28649999999999998"/>
    <n v="0.48699999999999999"/>
    <n v="2275"/>
    <x v="0"/>
    <x v="0"/>
    <s v=""/>
    <s v=""/>
    <n v="-183.13750000000005"/>
    <n v="-0.2193460490463216"/>
    <x v="1"/>
    <x v="1"/>
    <s v=""/>
    <s v=""/>
    <n v="273"/>
    <n v="0.32697547683923706"/>
    <n v="1.4906832298136643"/>
    <n v="0.36"/>
    <n v="40"/>
    <s v=""/>
    <n v="0.25654450261780104"/>
    <n v="-0.26078028747433268"/>
    <n v="1.0165109164815824"/>
    <n v="-15.925000000000049"/>
    <n v="-1.9073569482288888E-2"/>
  </r>
  <r>
    <m/>
    <x v="83"/>
    <n v="0.55000000000000004"/>
    <n v="1023.3000000000001"/>
    <d v="2026-01-03T00:00:00"/>
    <x v="2"/>
    <n v="-8.2294891524271156E-3"/>
    <x v="2"/>
    <n v="2"/>
    <n v="170.55"/>
    <n v="147"/>
    <n v="210"/>
    <n v="6"/>
    <x v="0"/>
    <x v="0"/>
    <s v=""/>
    <s v=""/>
    <n v="-141.30000000000007"/>
    <n v="-0.13808267370272653"/>
    <x v="1"/>
    <x v="1"/>
    <s v=""/>
    <s v=""/>
    <n v="236.69999999999993"/>
    <n v="0.23131046613896211"/>
    <n v="1.6751592356687885"/>
    <n v="170.96"/>
    <n v="12"/>
    <s v=""/>
    <n v="0.16299319727891159"/>
    <n v="-0.18590476190476191"/>
    <n v="1.1405676126878128"/>
    <n v="2.4599999999999818"/>
    <n v="2.4039871005570035E-3"/>
  </r>
  <r>
    <n v="3"/>
    <x v="84"/>
    <e v="#N/A"/>
    <n v="967.02"/>
    <d v="2025-11-25T00:00:00"/>
    <x v="0"/>
    <e v="#N/A"/>
    <x v="5"/>
    <n v="-1"/>
    <n v="161.16999999999999"/>
    <n v="147"/>
    <n v="190"/>
    <n v="6"/>
    <x v="0"/>
    <x v="0"/>
    <s v=""/>
    <s v=""/>
    <n v="-85.019999999999925"/>
    <n v="-8.7919588012657368E-2"/>
    <x v="9"/>
    <x v="11"/>
    <n v="173.10000000000014"/>
    <n v="0.17900353663833235"/>
    <n v="172.98000000000008"/>
    <n v="0.17887944406527279"/>
    <n v="2.0345800988002849"/>
    <n v="190.02"/>
    <s v=""/>
    <s v=""/>
    <s v=""/>
    <s v=""/>
    <s v=""/>
    <s v=""/>
    <s v=""/>
  </r>
  <r>
    <m/>
    <x v="83"/>
    <n v="0.55000000000000004"/>
    <n v="1048.68"/>
    <d v="2026-01-11T00:00:00"/>
    <x v="2"/>
    <n v="-8.2294891524271156E-3"/>
    <x v="10"/>
    <n v="1"/>
    <n v="174.78"/>
    <n v="167.42"/>
    <n v="198.35"/>
    <n v="6"/>
    <x v="0"/>
    <x v="0"/>
    <s v=""/>
    <s v=""/>
    <n v="-44.160000000000082"/>
    <n v="-4.2110081244993783E-2"/>
    <x v="1"/>
    <x v="1"/>
    <s v=""/>
    <s v=""/>
    <n v="141.41999999999996"/>
    <n v="0.13485524659572029"/>
    <n v="3.202445652173906"/>
    <n v="170.96"/>
    <n v="5"/>
    <s v=""/>
    <n v="2.1144427189105475E-2"/>
    <n v="-0.13808923619863867"/>
    <n v="6.530762690501648"/>
    <n v="-22.920000000000009"/>
    <n v="-2.1856047602700546E-2"/>
  </r>
  <r>
    <m/>
    <x v="85"/>
    <n v="0.56999999999999995"/>
    <n v="997.44"/>
    <d v="2025-12-03T00:00:00"/>
    <x v="2"/>
    <n v="-6.1296337248834872E-3"/>
    <x v="5"/>
    <n v="-9"/>
    <n v="15.585000000000001"/>
    <n v="14.8"/>
    <n v="17.8"/>
    <n v="64"/>
    <x v="0"/>
    <x v="0"/>
    <s v=""/>
    <s v=""/>
    <n v="-50.240000000000009"/>
    <n v="-5.0368944497914667E-2"/>
    <x v="1"/>
    <x v="1"/>
    <s v=""/>
    <s v=""/>
    <n v="141.76"/>
    <n v="0.14212383702277828"/>
    <n v="2.8216560509554132"/>
    <n v="15.7"/>
    <n v="54"/>
    <s v=""/>
    <n v="6.0810810810810745E-2"/>
    <n v="-0.11797752808988771"/>
    <n v="1.9400749063670444"/>
    <n v="7.3599999999999364"/>
    <n v="7.3788899582931666E-3"/>
  </r>
  <r>
    <m/>
    <x v="86"/>
    <n v="0.5"/>
    <n v="1010.4"/>
    <d v="2026-01-10T00:00:00"/>
    <x v="1"/>
    <n v="8.7559970618566133E-3"/>
    <x v="1"/>
    <s v=""/>
    <n v="63.15"/>
    <n v="60.15"/>
    <n v="69.099999999999994"/>
    <n v="16"/>
    <x v="0"/>
    <x v="0"/>
    <s v=""/>
    <s v=""/>
    <n v="-48"/>
    <n v="-4.7505938242280284E-2"/>
    <x v="1"/>
    <x v="1"/>
    <s v=""/>
    <s v=""/>
    <n v="95.199999999999932"/>
    <n v="9.4220110847189162E-2"/>
    <n v="1.9833333333333318"/>
    <n v="72.2"/>
    <s v=""/>
    <n v="0.14330958036421237"/>
    <n v="0.20033250207813813"/>
    <n v="4.4862518089725079E-2"/>
    <n v="-0.22394028739393873"/>
    <s v=""/>
    <s v=""/>
  </r>
  <r>
    <m/>
    <x v="87"/>
    <e v="#N/A"/>
    <n v="920"/>
    <d v="2026-01-02T00:00:00"/>
    <x v="1"/>
    <n v="-1.4693410519246886E-3"/>
    <x v="1"/>
    <s v=""/>
    <n v="1150"/>
    <n v="1070"/>
    <n v="1330"/>
    <n v="80"/>
    <x v="0"/>
    <x v="0"/>
    <s v=""/>
    <s v=""/>
    <n v="-64"/>
    <n v="-6.9565217391304353E-4"/>
    <x v="1"/>
    <x v="1"/>
    <s v=""/>
    <s v=""/>
    <n v="144"/>
    <n v="1.5652173913043479E-3"/>
    <n v="2.25"/>
    <n v="1285.5"/>
    <s v=""/>
    <n v="0.11782608695652175"/>
    <n v="0.20140186915887859"/>
    <n v="-3.3458646616541299E-2"/>
    <n v="0.16612877902412609"/>
    <s v=""/>
    <s v=""/>
  </r>
  <r>
    <n v="18"/>
    <x v="88"/>
    <e v="#N/A"/>
    <n v="944.9"/>
    <d v="2026-01-04T00:00:00"/>
    <x v="0"/>
    <e v="#N/A"/>
    <x v="20"/>
    <n v="3"/>
    <n v="188.98"/>
    <n v="180.18"/>
    <n v="193.74"/>
    <n v="5"/>
    <x v="0"/>
    <x v="0"/>
    <s v=""/>
    <s v=""/>
    <n v="-43.999999999999915"/>
    <n v="-4.6565774155995256E-2"/>
    <x v="5"/>
    <x v="12"/>
    <n v="27.10000000000008"/>
    <n v="2.8680283627897218E-2"/>
    <n v="23.800000000000097"/>
    <n v="2.5187850566197583E-2"/>
    <n v="0.54090909090909411"/>
    <n v="194.4"/>
    <s v=""/>
    <s v=""/>
    <s v=""/>
    <s v=""/>
    <s v=""/>
    <s v=""/>
    <s v=""/>
  </r>
  <r>
    <m/>
    <x v="89"/>
    <n v="0.56000000000000005"/>
    <n v="944.9"/>
    <d v="2026-01-11T00:00:00"/>
    <x v="1"/>
    <n v="1.1341946888905774E-2"/>
    <x v="1"/>
    <s v=""/>
    <n v="188.98"/>
    <n v="184.47"/>
    <n v="196.38"/>
    <n v="5"/>
    <x v="0"/>
    <x v="0"/>
    <s v=""/>
    <s v=""/>
    <n v="-22.549999999999955"/>
    <n v="-2.3864959254947565E-2"/>
    <x v="1"/>
    <x v="1"/>
    <s v=""/>
    <s v=""/>
    <n v="37.000000000000028"/>
    <n v="3.9157582812996118E-2"/>
    <n v="1.6407982261640843"/>
    <n v="201.92"/>
    <s v=""/>
    <n v="6.8472854270293038E-2"/>
    <n v="9.4595327153466524E-2"/>
    <n v="2.8210612078622965E-2"/>
    <n v="-0.29822416103974714"/>
    <s v=""/>
    <s v=""/>
  </r>
  <r>
    <m/>
    <x v="90"/>
    <n v="0.56000000000000005"/>
    <n v="10138.4"/>
    <d v="2026-01-04T00:00:00"/>
    <x v="1"/>
    <n v="3.4804448420497681E-3"/>
    <x v="1"/>
    <s v=""/>
    <n v="533.6"/>
    <n v="516.4"/>
    <n v="587.29999999999995"/>
    <n v="19"/>
    <x v="0"/>
    <x v="0"/>
    <s v=""/>
    <s v=""/>
    <n v="-326.80000000000086"/>
    <n v="-3.2233883058470851E-2"/>
    <x v="1"/>
    <x v="1"/>
    <s v=""/>
    <s v=""/>
    <n v="1020.2999999999987"/>
    <n v="0.10063718140929523"/>
    <n v="3.1220930232558017"/>
    <n v="707.8"/>
    <s v=""/>
    <n v="0.32646176911544211"/>
    <n v="0.37064291247095271"/>
    <n v="0.2051762302060276"/>
    <n v="-0.55356847062901082"/>
    <s v=""/>
    <s v=""/>
  </r>
  <r>
    <m/>
    <x v="91"/>
    <n v="0.55000000000000004"/>
    <n v="1042.29"/>
    <d v="2025-12-01T00:00:00"/>
    <x v="2"/>
    <n v="-5.4422266095812914E-3"/>
    <x v="22"/>
    <n v="-6"/>
    <n v="3.13"/>
    <n v="2.95"/>
    <n v="3.7"/>
    <n v="333"/>
    <x v="0"/>
    <x v="0"/>
    <s v=""/>
    <s v=""/>
    <n v="-59.939999999999905"/>
    <n v="-5.7507987220447199E-2"/>
    <x v="1"/>
    <x v="1"/>
    <s v=""/>
    <s v=""/>
    <n v="189.81000000000009"/>
    <n v="0.18210862619808316"/>
    <n v="3.1666666666666732"/>
    <n v="3.24"/>
    <n v="53"/>
    <s v=""/>
    <n v="9.8305084745762716E-2"/>
    <n v="-0.12432432432432428"/>
    <n v="1.2646784715750228"/>
    <n v="36.63000000000013"/>
    <n v="3.5143769968051242E-2"/>
  </r>
  <r>
    <n v="13"/>
    <x v="92"/>
    <e v="#N/A"/>
    <n v="1006.3919999999999"/>
    <d v="2025-12-05T00:00:00"/>
    <x v="0"/>
    <e v="#N/A"/>
    <x v="23"/>
    <n v="-14"/>
    <n v="8.8279999999999994"/>
    <n v="8.2940000000000005"/>
    <n v="10.3"/>
    <n v="114"/>
    <x v="0"/>
    <x v="0"/>
    <s v=""/>
    <s v=""/>
    <n v="-60.875999999999877"/>
    <n v="-6.0489352061621995E-2"/>
    <x v="10"/>
    <x v="13"/>
    <n v="168.03600000000003"/>
    <n v="0.1669687358405075"/>
    <n v="167.80800000000016"/>
    <n v="0.16674218396012705"/>
    <n v="2.7565543071161129"/>
    <n v="10.302"/>
    <s v=""/>
    <s v=""/>
    <s v=""/>
    <s v=""/>
    <s v=""/>
    <s v=""/>
    <s v=""/>
  </r>
  <r>
    <m/>
    <x v="93"/>
    <n v="0.55000000000000004"/>
    <n v="1099.644"/>
    <d v="2026-01-11T00:00:00"/>
    <x v="1"/>
    <n v="4.4423401911960481E-3"/>
    <x v="1"/>
    <s v=""/>
    <n v="9.6460000000000008"/>
    <n v="9.3770000000000007"/>
    <n v="10.3"/>
    <n v="114"/>
    <x v="0"/>
    <x v="0"/>
    <s v=""/>
    <s v=""/>
    <n v="-30.666000000000015"/>
    <n v="-2.7887207132490165E-2"/>
    <x v="1"/>
    <x v="1"/>
    <s v=""/>
    <s v=""/>
    <n v="74.555999999999983"/>
    <n v="6.7800124403897974E-2"/>
    <n v="2.4312267657992548"/>
    <n v="10.54"/>
    <s v=""/>
    <n v="9.2680904001658515E-2"/>
    <n v="0.12402687426682291"/>
    <n v="2.3300970873786353E-2"/>
    <n v="-0.18787033867884345"/>
    <s v=""/>
    <s v=""/>
  </r>
  <r>
    <m/>
    <x v="94"/>
    <n v="0.5"/>
    <n v="1000.776"/>
    <d v="2026-01-04T00:00:00"/>
    <x v="1"/>
    <n v="-4.0192427384957432E-4"/>
    <x v="1"/>
    <s v=""/>
    <n v="3.8639999999999999"/>
    <n v="3.738"/>
    <n v="4.0919999999999996"/>
    <n v="259"/>
    <x v="0"/>
    <x v="0"/>
    <s v=""/>
    <s v=""/>
    <n v="-32.633999999999972"/>
    <n v="-3.2608695652173884E-2"/>
    <x v="1"/>
    <x v="1"/>
    <s v=""/>
    <s v=""/>
    <n v="59.051999999999936"/>
    <n v="5.9006211180124161E-2"/>
    <n v="1.8095238095238091"/>
    <n v="4.0199999999999996"/>
    <s v=""/>
    <n v="4.0372670807453437E-2"/>
    <n v="7.5441412520064199E-2"/>
    <n v="-1.7595307917888547E-2"/>
    <n v="0.2332314219754163"/>
    <s v=""/>
    <s v=""/>
  </r>
  <r>
    <m/>
    <x v="95"/>
    <n v="0.5"/>
    <n v="1003.6899999999999"/>
    <d v="2026-01-02T00:00:00"/>
    <x v="1"/>
    <n v="3.9699200645858298E-3"/>
    <x v="1"/>
    <s v=""/>
    <n v="17.305"/>
    <n v="16.98"/>
    <n v="18.54"/>
    <n v="58"/>
    <x v="0"/>
    <x v="0"/>
    <s v=""/>
    <s v=""/>
    <n v="-18.849999999999959"/>
    <n v="-1.8780699219878606E-2"/>
    <x v="1"/>
    <x v="1"/>
    <s v=""/>
    <s v=""/>
    <n v="71.629999999999967"/>
    <n v="7.1366657035538836E-2"/>
    <n v="3.8000000000000065"/>
    <n v="17.77"/>
    <s v=""/>
    <n v="2.6870846576134033E-2"/>
    <n v="4.6525323910482808E-2"/>
    <n v="-4.1531823085221076E-2"/>
    <n v="0.89267133669247545"/>
    <s v=""/>
    <s v=""/>
  </r>
  <r>
    <m/>
    <x v="96"/>
    <n v="0.5"/>
    <n v="932.4"/>
    <d v="2026-01-10T00:00:00"/>
    <x v="2"/>
    <n v="-2.9486869030879648E-2"/>
    <x v="11"/>
    <n v="4"/>
    <n v="233.1"/>
    <n v="227.35"/>
    <n v="258.14999999999998"/>
    <n v="4"/>
    <x v="0"/>
    <x v="0"/>
    <s v=""/>
    <s v=""/>
    <n v="-23"/>
    <n v="-2.4667524667524667E-2"/>
    <x v="1"/>
    <x v="1"/>
    <s v=""/>
    <s v=""/>
    <n v="100.19999999999993"/>
    <n v="0.1074646074646074"/>
    <n v="4.3565217391304314"/>
    <n v="235.15"/>
    <n v="3"/>
    <s v=""/>
    <n v="3.4308335166043591E-2"/>
    <n v="-8.9095487119891459E-2"/>
    <n v="2.5969049995778586"/>
    <n v="8.2000000000001325"/>
    <n v="8.7945087945089373E-3"/>
  </r>
  <r>
    <m/>
    <x v="97"/>
    <n v="0.56000000000000005"/>
    <n v="1401.75"/>
    <d v="2026-01-08T00:00:00"/>
    <x v="1"/>
    <n v="1.8300924899757876E-3"/>
    <x v="1"/>
    <s v=""/>
    <n v="6675"/>
    <n v="6520"/>
    <n v="7245"/>
    <n v="21"/>
    <x v="0"/>
    <x v="0"/>
    <s v=""/>
    <s v=""/>
    <n v="-32.549999999999997"/>
    <n v="-2.3220973782771533E-4"/>
    <x v="1"/>
    <x v="1"/>
    <s v=""/>
    <s v=""/>
    <n v="119.7"/>
    <n v="8.5393258426966299E-4"/>
    <n v="3.67741935483871"/>
    <n v="7185"/>
    <s v=""/>
    <n v="7.640449438202257E-2"/>
    <n v="0.10199386503067487"/>
    <n v="-8.281573498964856E-3"/>
    <n v="8.1196780771805782E-2"/>
    <s v=""/>
    <s v=""/>
  </r>
  <r>
    <m/>
    <x v="98"/>
    <n v="0.5"/>
    <n v="1000.8"/>
    <d v="2025-12-08T00:00:00"/>
    <x v="2"/>
    <n v="-6.20965967202487E-3"/>
    <x v="7"/>
    <n v="22"/>
    <n v="2.4"/>
    <n v="2.0499999999999998"/>
    <n v="3.1"/>
    <n v="417"/>
    <x v="0"/>
    <x v="0"/>
    <s v=""/>
    <s v=""/>
    <n v="-145.95000000000005"/>
    <n v="-0.1458333333333334"/>
    <x v="1"/>
    <x v="1"/>
    <s v=""/>
    <s v=""/>
    <n v="291.90000000000009"/>
    <n v="0.2916666666666668"/>
    <n v="2"/>
    <n v="2.4700000000000002"/>
    <n v="18"/>
    <s v=""/>
    <n v="0.20487804878048799"/>
    <n v="-0.20322580645161281"/>
    <n v="0.99193548387096642"/>
    <n v="29.190000000000119"/>
    <n v="2.9166666666666785E-2"/>
  </r>
  <r>
    <n v="5"/>
    <x v="99"/>
    <e v="#N/A"/>
    <n v="956.54"/>
    <d v="2025-11-28T00:00:00"/>
    <x v="0"/>
    <e v="#N/A"/>
    <x v="5"/>
    <n v="-4"/>
    <n v="3.6789999999999998"/>
    <n v="3.48"/>
    <n v="4.32"/>
    <n v="260"/>
    <x v="14"/>
    <x v="12"/>
    <n v="-54.339999999999904"/>
    <n v="-5.6808915466159182E-2"/>
    <n v="-51.739999999999959"/>
    <n v="-5.4090785539548748E-2"/>
    <x v="1"/>
    <x v="1"/>
    <s v=""/>
    <s v=""/>
    <n v="166.66000000000011"/>
    <n v="0.17423212829573265"/>
    <n v="3.2211055276381955"/>
    <n v="3.47"/>
    <s v=""/>
    <s v=""/>
    <s v=""/>
    <s v=""/>
    <s v=""/>
    <s v=""/>
    <s v=""/>
  </r>
  <r>
    <n v="29"/>
    <x v="100"/>
    <e v="#N/A"/>
    <n v="884"/>
    <d v="2026-01-11T00:00:00"/>
    <x v="0"/>
    <e v="#N/A"/>
    <x v="10"/>
    <n v="1"/>
    <n v="3.4"/>
    <n v="3.4180000000000001"/>
    <n v="3.8159999999999998"/>
    <n v="260"/>
    <x v="11"/>
    <x v="13"/>
    <n v="-5.7199999999999473"/>
    <n v="-6.4705882352940579E-3"/>
    <n v="4.6800000000000619"/>
    <n v="5.2941176470588935E-3"/>
    <x v="1"/>
    <x v="1"/>
    <s v=""/>
    <s v=""/>
    <n v="108.15999999999998"/>
    <n v="0.12235294117647057"/>
    <n v="-23.111111111110802"/>
    <n v="3.3780000000000001"/>
    <s v=""/>
    <s v=""/>
    <s v=""/>
    <s v=""/>
    <s v=""/>
    <s v=""/>
    <s v=""/>
  </r>
  <r>
    <m/>
    <x v="101"/>
    <n v="0.5"/>
    <n v="873.08"/>
    <d v="2026-01-14T00:00:00"/>
    <x v="2"/>
    <n v="-4.6795418191709626E-3"/>
    <x v="11"/>
    <n v="0"/>
    <n v="3.3580000000000001"/>
    <n v="3.3029999999999999"/>
    <n v="3.7850000000000001"/>
    <n v="260"/>
    <x v="0"/>
    <x v="0"/>
    <s v=""/>
    <s v=""/>
    <n v="-14.300000000000042"/>
    <n v="-1.6378796902918449E-2"/>
    <x v="1"/>
    <x v="1"/>
    <s v=""/>
    <s v=""/>
    <n v="111.02000000000001"/>
    <n v="0.12715902322811198"/>
    <n v="7.7636363636363415"/>
    <n v="3.34"/>
    <n v="3"/>
    <s v=""/>
    <n v="1.120193763245525E-2"/>
    <n v="-0.11756935270805824"/>
    <n v="10.495447891749178"/>
    <n v="-4.6800000000000566"/>
    <n v="-5.3603335318642698E-3"/>
  </r>
  <r>
    <m/>
    <x v="102"/>
    <e v="#N/A"/>
    <n v="1004.3439999999999"/>
    <d v="2026-01-02T00:00:00"/>
    <x v="1"/>
    <n v="-6.0906005645834146E-3"/>
    <x v="1"/>
    <s v=""/>
    <n v="8.8879999999999999"/>
    <n v="8.4339999999999993"/>
    <n v="9.8620000000000001"/>
    <n v="113"/>
    <x v="0"/>
    <x v="0"/>
    <s v=""/>
    <s v=""/>
    <n v="-51.302000000000071"/>
    <n v="-5.1080108010801151E-2"/>
    <x v="1"/>
    <x v="1"/>
    <s v=""/>
    <s v=""/>
    <n v="110.06200000000003"/>
    <n v="0.10958595859585962"/>
    <n v="2.1453744493392044"/>
    <n v="10.32"/>
    <s v=""/>
    <n v="0.16111611161116124"/>
    <n v="0.22361868626986015"/>
    <n v="4.6440884201987442E-2"/>
    <n v="-0.20767890634123118"/>
    <s v=""/>
    <s v=""/>
  </r>
  <r>
    <m/>
    <x v="103"/>
    <n v="0.5"/>
    <n v="999.96999999999991"/>
    <d v="2026-01-10T00:00:00"/>
    <x v="2"/>
    <n v="-1.2867497575734532E-2"/>
    <x v="10"/>
    <n v="2"/>
    <n v="3.61"/>
    <n v="3.1850000000000001"/>
    <n v="4.3449999999999998"/>
    <n v="277"/>
    <x v="0"/>
    <x v="0"/>
    <s v=""/>
    <s v=""/>
    <n v="-117.72499999999995"/>
    <n v="-0.11772853185595564"/>
    <x v="1"/>
    <x v="1"/>
    <s v=""/>
    <s v=""/>
    <n v="203.59499999999997"/>
    <n v="0.203601108033241"/>
    <n v="1.7294117647058829"/>
    <n v="3.35"/>
    <n v="5"/>
    <s v=""/>
    <n v="5.180533751962324E-2"/>
    <n v="-0.22899884925201375"/>
    <n v="4.4203717264706892"/>
    <n v="-72.019999999999968"/>
    <n v="-7.2022160664819923E-2"/>
  </r>
  <r>
    <n v="24"/>
    <x v="104"/>
    <e v="#N/A"/>
    <n v="1057.92"/>
    <d v="2026-01-07T00:00:00"/>
    <x v="0"/>
    <e v="#N/A"/>
    <x v="13"/>
    <n v="1"/>
    <n v="352.64"/>
    <n v="349.03"/>
    <n v="359.08"/>
    <n v="3"/>
    <x v="2"/>
    <x v="4"/>
    <n v="-30.419999999999959"/>
    <n v="-2.8754537205081629E-2"/>
    <n v="-10.830000000000041"/>
    <n v="-1.0237068965517279E-2"/>
    <x v="1"/>
    <x v="1"/>
    <s v=""/>
    <s v=""/>
    <n v="19.319999999999993"/>
    <n v="1.8262250453720499E-2"/>
    <n v="1.7839335180055329"/>
    <n v="342.5"/>
    <s v=""/>
    <s v=""/>
    <s v=""/>
    <s v=""/>
    <s v=""/>
    <s v=""/>
    <s v=""/>
  </r>
  <r>
    <m/>
    <x v="105"/>
    <n v="0.5"/>
    <n v="993.33"/>
    <d v="2026-01-12T00:00:00"/>
    <x v="2"/>
    <n v="-9.8037252719365368E-3"/>
    <x v="14"/>
    <n v="1"/>
    <n v="331.11"/>
    <n v="318.86"/>
    <n v="359.08"/>
    <n v="3"/>
    <x v="0"/>
    <x v="0"/>
    <s v=""/>
    <s v=""/>
    <n v="-36.75"/>
    <n v="-3.6996768445531694E-2"/>
    <x v="1"/>
    <x v="1"/>
    <s v=""/>
    <s v=""/>
    <n v="83.909999999999911"/>
    <n v="8.4473437830328194E-2"/>
    <n v="2.2832653061224466"/>
    <n v="328.3"/>
    <n v="4"/>
    <s v=""/>
    <n v="2.9605469485040503E-2"/>
    <n v="-8.5719059819538757E-2"/>
    <n v="2.8953791752180176"/>
    <n v="-8.4300000000000317"/>
    <n v="-8.4866056597505679E-3"/>
  </r>
  <r>
    <n v="35"/>
    <x v="106"/>
    <e v="#N/A"/>
    <n v="1046"/>
    <d v="2026-01-10T00:00:00"/>
    <x v="0"/>
    <e v="#N/A"/>
    <x v="10"/>
    <n v="2"/>
    <n v="104.6"/>
    <n v="101.72"/>
    <n v="109.69"/>
    <n v="10"/>
    <x v="5"/>
    <x v="4"/>
    <n v="-30.999999999999943"/>
    <n v="-2.9636711281070691E-2"/>
    <n v="-28.799999999999955"/>
    <n v="-2.7533460803059229E-2"/>
    <x v="1"/>
    <x v="1"/>
    <s v=""/>
    <s v=""/>
    <n v="50.900000000000034"/>
    <n v="4.8661567877629097E-2"/>
    <n v="1.7673611111111152"/>
    <n v="101.5"/>
    <s v=""/>
    <s v=""/>
    <s v=""/>
    <s v=""/>
    <s v=""/>
    <s v=""/>
    <s v=""/>
  </r>
  <r>
    <m/>
    <x v="107"/>
    <e v="#N/A"/>
    <n v="1011"/>
    <d v="2026-01-16T00:00:00"/>
    <x v="2"/>
    <n v="-1.4507741406968311E-3"/>
    <x v="12"/>
    <n v="0"/>
    <n v="101.1"/>
    <n v="100.07"/>
    <n v="109.69"/>
    <n v="10"/>
    <x v="0"/>
    <x v="0"/>
    <s v=""/>
    <s v=""/>
    <n v="-10.300000000000011"/>
    <n v="-1.0187932739861535E-2"/>
    <x v="1"/>
    <x v="1"/>
    <s v=""/>
    <s v=""/>
    <n v="85.900000000000034"/>
    <n v="8.496538081107817E-2"/>
    <n v="8.3398058252427134"/>
    <n v="101.4"/>
    <n v="1"/>
    <s v=""/>
    <n v="1.3290696512441524E-2"/>
    <n v="-7.5576625034187161E-2"/>
    <n v="5.6864307271962229"/>
    <n v="3.0000000000002158"/>
    <n v="2.9673590504453173E-3"/>
  </r>
  <r>
    <n v="6"/>
    <x v="108"/>
    <e v="#N/A"/>
    <n v="1018.9200000000001"/>
    <d v="2025-11-28T00:00:00"/>
    <x v="0"/>
    <e v="#N/A"/>
    <x v="5"/>
    <n v="-4"/>
    <n v="2.4260000000000002"/>
    <n v="2.2799999999999998"/>
    <n v="2.75"/>
    <n v="420"/>
    <x v="0"/>
    <x v="0"/>
    <s v=""/>
    <s v=""/>
    <n v="-61.320000000000149"/>
    <n v="-6.0181368507831963E-2"/>
    <x v="11"/>
    <x v="14"/>
    <n v="143.63999999999984"/>
    <n v="0.14097279472382507"/>
    <n v="136.07999999999993"/>
    <n v="0.13355317394888697"/>
    <n v="2.2191780821917741"/>
    <n v="2.7679999999999998"/>
    <s v=""/>
    <s v=""/>
    <s v=""/>
    <s v=""/>
    <s v=""/>
    <s v=""/>
    <s v=""/>
  </r>
  <r>
    <m/>
    <x v="109"/>
    <n v="0.5"/>
    <n v="1014.7199999999999"/>
    <d v="2026-01-11T00:00:00"/>
    <x v="1"/>
    <n v="-1.4388725280804881E-2"/>
    <x v="1"/>
    <s v=""/>
    <n v="2.4159999999999999"/>
    <n v="2.2599999999999998"/>
    <n v="2.8439999999999999"/>
    <n v="420"/>
    <x v="0"/>
    <x v="0"/>
    <s v=""/>
    <s v=""/>
    <n v="-65.520000000000053"/>
    <n v="-6.4569536423841112E-2"/>
    <x v="1"/>
    <x v="1"/>
    <s v=""/>
    <s v=""/>
    <n v="179.75999999999996"/>
    <n v="0.17715231788079469"/>
    <n v="2.7435897435897409"/>
    <n v="2.83"/>
    <s v=""/>
    <n v="0.17135761589403975"/>
    <n v="0.25221238938053103"/>
    <n v="-4.9226441631504692E-3"/>
    <n v="1.9517852296000102E-2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s v="Nasdaq 100"/>
    <x v="0"/>
    <x v="0"/>
    <x v="0"/>
    <x v="0"/>
    <s v="Pullback / ruptura con confirmación"/>
    <s v="Confirmación técnica (cierre o retest)"/>
    <s v="Bajo soporte / ruptura"/>
    <s v="1,5–2R o trailing"/>
    <x v="0"/>
    <s v="Sesgo favorable"/>
  </r>
  <r>
    <x v="1"/>
    <s v="Nasdaq 100"/>
    <x v="1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2"/>
    <s v="Nasdaq 100"/>
    <x v="2"/>
    <x v="0"/>
    <x v="0"/>
    <x v="0"/>
    <s v="Pullback / ruptura con confirmación"/>
    <s v="Confirmación técnica (cierre o retest)"/>
    <s v="Bajo soporte / ruptura"/>
    <s v="1,5–2R o trailing"/>
    <x v="0"/>
    <s v="Sesgo favorable"/>
  </r>
  <r>
    <x v="3"/>
    <s v="Nasdaq 100"/>
    <x v="3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4"/>
    <s v="Euronext/Nasdaq"/>
    <x v="4"/>
    <x v="0"/>
    <x v="0"/>
    <x v="0"/>
    <s v="Pullback / ruptura con confirmación"/>
    <s v="Confirmación técnica (cierre o retest)"/>
    <s v="Bajo soporte / ruptura"/>
    <s v="1,5–2R o trailing"/>
    <x v="0"/>
    <s v="Sesgo favorable"/>
  </r>
  <r>
    <x v="5"/>
    <s v="Nasdaq 100"/>
    <x v="5"/>
    <x v="0"/>
    <x v="1"/>
    <x v="0"/>
    <s v="Pullback / ruptura con confirmación"/>
    <s v="Confirmación técnica (cierre o retest)"/>
    <s v="Bajo soporte / ruptura"/>
    <s v="1,5–2R o trailing"/>
    <x v="0"/>
    <s v="Sesgo favorable"/>
  </r>
  <r>
    <x v="6"/>
    <s v="Nasdaq 100"/>
    <x v="5"/>
    <x v="0"/>
    <x v="0"/>
    <x v="0"/>
    <s v="Pullback / ruptura con confirmación"/>
    <s v="Confirmación técnica (cierre o retest)"/>
    <s v="Bajo soporte / ruptura"/>
    <s v="1,5–2R o trailing"/>
    <x v="0"/>
    <s v="Sesgo favorable"/>
  </r>
  <r>
    <x v="7"/>
    <s v="Nasdaq 100"/>
    <x v="6"/>
    <x v="0"/>
    <x v="1"/>
    <x v="0"/>
    <s v="Pullback / ruptura con confirmación"/>
    <s v="Confirmación técnica (cierre o retest)"/>
    <s v="Bajo soporte / ruptura"/>
    <s v="1,5–2R o trailing"/>
    <x v="0"/>
    <s v="Sesgo favorable"/>
  </r>
  <r>
    <x v="8"/>
    <s v="NYSE"/>
    <x v="7"/>
    <x v="0"/>
    <x v="2"/>
    <x v="2"/>
    <s v="Pullback / ruptura con confirmación"/>
    <s v="Confirmación técnica (cierre o retest)"/>
    <s v="Bajo soporte / ruptura"/>
    <s v="1,5–2R o trailing"/>
    <x v="0"/>
    <s v="Sesgo favorable"/>
  </r>
  <r>
    <x v="9"/>
    <s v="Nasdaq 100"/>
    <x v="7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10"/>
    <s v="NYSE"/>
    <x v="8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11"/>
    <s v="NYSE"/>
    <x v="9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12"/>
    <s v="DAX"/>
    <x v="10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13"/>
    <s v="NYSE"/>
    <x v="10"/>
    <x v="0"/>
    <x v="0"/>
    <x v="3"/>
    <s v="Pullback / ruptura con confirmación"/>
    <s v="Confirmación técnica (cierre o retest)"/>
    <s v="Bajo soporte / ruptura"/>
    <s v="1,5–2R o trailing"/>
    <x v="0"/>
    <s v="Sesgo favorable"/>
  </r>
  <r>
    <x v="14"/>
    <s v="NYSE"/>
    <x v="11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15"/>
    <s v="NYSE"/>
    <x v="11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16"/>
    <s v="NYSE"/>
    <x v="11"/>
    <x v="0"/>
    <x v="0"/>
    <x v="1"/>
    <s v="Pullback / ruptura con confirmación"/>
    <s v="Confirmación técnica (cierre o retest)"/>
    <s v="Bajo soporte / ruptura"/>
    <s v="1,5–2R o trailing"/>
    <x v="0"/>
    <s v="Sesgo favorable"/>
  </r>
  <r>
    <x v="17"/>
    <s v="IBEX 35"/>
    <x v="12"/>
    <x v="0"/>
    <x v="0"/>
    <x v="0"/>
    <s v="Pullback / ruptura con confirmación"/>
    <s v="Confirmación técnica (cierre o retest)"/>
    <s v="Bajo soporte / ruptura"/>
    <s v="1,5–2R o trailing"/>
    <x v="0"/>
    <s v="Sesgo favorable"/>
  </r>
  <r>
    <x v="18"/>
    <s v="IBEX 35"/>
    <x v="13"/>
    <x v="0"/>
    <x v="1"/>
    <x v="0"/>
    <s v="Pullback / ruptura con confirmación"/>
    <s v="Confirmación técnica (cierre o retest)"/>
    <s v="Bajo soporte / ruptura"/>
    <s v="1,5–2R o trailing"/>
    <x v="0"/>
    <s v="Sesgo favorable"/>
  </r>
  <r>
    <x v="19"/>
    <s v="IBEX 35"/>
    <x v="14"/>
    <x v="0"/>
    <x v="0"/>
    <x v="0"/>
    <s v="Pullback / ruptura con confirmación"/>
    <s v="Confirmación técnica (cierre o retest)"/>
    <s v="Bajo soporte / ruptura"/>
    <s v="1,5–2R o trailing"/>
    <x v="0"/>
    <s v="Sesgo favorable"/>
  </r>
  <r>
    <x v="20"/>
    <s v="IBEX 35"/>
    <x v="15"/>
    <x v="0"/>
    <x v="2"/>
    <x v="2"/>
    <s v="Pullback / ruptura con confirmación"/>
    <s v="Confirmación técnica (cierre o retest)"/>
    <s v="Bajo soporte / ruptura"/>
    <s v="1,5–2R o trailing"/>
    <x v="0"/>
    <s v="Sesgo favorable"/>
  </r>
  <r>
    <x v="21"/>
    <s v="IBEX 35"/>
    <x v="16"/>
    <x v="0"/>
    <x v="2"/>
    <x v="2"/>
    <s v="Pullback / ruptura con confirmación"/>
    <s v="Confirmación técnica (cierre o retest)"/>
    <s v="Bajo soporte / ruptura"/>
    <s v="1,5–2R o trailing"/>
    <x v="0"/>
    <s v="Sesgo favorable"/>
  </r>
  <r>
    <x v="22"/>
    <s v="IBEX 35"/>
    <x v="17"/>
    <x v="0"/>
    <x v="2"/>
    <x v="0"/>
    <s v="Pullback / ruptura con confirmación"/>
    <s v="Confirmación técnica (cierre o retest)"/>
    <s v="Bajo soporte / ruptura"/>
    <s v="1,5–2R o trailing"/>
    <x v="0"/>
    <s v="Sesgo favorable"/>
  </r>
  <r>
    <x v="23"/>
    <s v="IBEX 35"/>
    <x v="18"/>
    <x v="0"/>
    <x v="1"/>
    <x v="1"/>
    <s v="Pullback / ruptura con confirmación"/>
    <s v="Confirmación técnica (cierre o retest)"/>
    <s v="Bajo soporte / ruptura"/>
    <s v="1,5–2R o trailing"/>
    <x v="0"/>
    <s v="Sesgo favorable"/>
  </r>
  <r>
    <x v="24"/>
    <s v="IBEX 35"/>
    <x v="18"/>
    <x v="0"/>
    <x v="1"/>
    <x v="0"/>
    <s v="Pullback / ruptura con confirmación"/>
    <s v="Confirmación técnica (cierre o retest)"/>
    <s v="Bajo soporte / ruptura"/>
    <s v="1,5–2R o trailing"/>
    <x v="0"/>
    <s v="Sesgo favorable"/>
  </r>
  <r>
    <x v="25"/>
    <s v="IBEX 35"/>
    <x v="19"/>
    <x v="0"/>
    <x v="1"/>
    <x v="1"/>
    <s v="Pullback / ruptura con confirmación"/>
    <s v="Confirmación técnica (cierre o retest)"/>
    <s v="Bajo soporte / ruptura"/>
    <s v="1,5–2R o trailing"/>
    <x v="0"/>
    <s v="Sesgo favorable"/>
  </r>
  <r>
    <x v="26"/>
    <s v="IBEX 35"/>
    <x v="19"/>
    <x v="0"/>
    <x v="2"/>
    <x v="2"/>
    <s v="Pullback / ruptura con confirmación"/>
    <s v="Confirmación técnica (cierre o retest)"/>
    <s v="Bajo soporte / ruptura"/>
    <s v="1,5–2R o trailing"/>
    <x v="0"/>
    <s v="Sesgo favorable"/>
  </r>
  <r>
    <x v="27"/>
    <s v="IBEX 35"/>
    <x v="20"/>
    <x v="1"/>
    <x v="1"/>
    <x v="3"/>
    <s v="Rango soporte–resistencia"/>
    <s v="Entrada en soporte validado"/>
    <s v="Bajo soporte"/>
    <s v="Centro/parte alta del rango"/>
    <x v="1"/>
    <s v="Táctico"/>
  </r>
  <r>
    <x v="28"/>
    <s v="IBEX 35"/>
    <x v="20"/>
    <x v="1"/>
    <x v="1"/>
    <x v="1"/>
    <s v="Rango soporte–resistencia"/>
    <s v="Entrada en soporte validado"/>
    <s v="Bajo soporte"/>
    <s v="Centro/parte alta del rango"/>
    <x v="1"/>
    <s v="Táctico"/>
  </r>
  <r>
    <x v="29"/>
    <s v="IBEX 35"/>
    <x v="21"/>
    <x v="1"/>
    <x v="1"/>
    <x v="3"/>
    <s v="Rango soporte–resistencia"/>
    <s v="Entrada en soporte validado"/>
    <s v="Bajo soporte"/>
    <s v="Centro/parte alta del rango"/>
    <x v="1"/>
    <s v="Táctico"/>
  </r>
  <r>
    <x v="30"/>
    <s v="IBEX 35"/>
    <x v="22"/>
    <x v="1"/>
    <x v="1"/>
    <x v="3"/>
    <s v="Rango soporte–resistencia"/>
    <s v="Entrada en soporte validado"/>
    <s v="Bajo soporte"/>
    <s v="Centro/parte alta del rango"/>
    <x v="1"/>
    <s v="Táctico"/>
  </r>
  <r>
    <x v="31"/>
    <s v="IBEX 35"/>
    <x v="22"/>
    <x v="1"/>
    <x v="1"/>
    <x v="0"/>
    <s v="Rango soporte–resistencia"/>
    <s v="Entrada en soporte validado"/>
    <s v="Bajo soporte"/>
    <s v="Centro/parte alta del rango"/>
    <x v="1"/>
    <s v="Táctico"/>
  </r>
  <r>
    <x v="32"/>
    <s v="IBEX 35"/>
    <x v="23"/>
    <x v="1"/>
    <x v="2"/>
    <x v="0"/>
    <s v="Rango soporte–resistencia"/>
    <s v="Entrada en soporte validado"/>
    <s v="Bajo soporte"/>
    <s v="Centro/parte alta del rango"/>
    <x v="1"/>
    <s v="Táctico"/>
  </r>
  <r>
    <x v="33"/>
    <s v="IBEX 35"/>
    <x v="24"/>
    <x v="1"/>
    <x v="2"/>
    <x v="0"/>
    <s v="Rango soporte–resistencia"/>
    <s v="Entrada en soporte validado"/>
    <s v="Bajo soporte"/>
    <s v="Centro/parte alta del rango"/>
    <x v="1"/>
    <s v="Táctico"/>
  </r>
  <r>
    <x v="34"/>
    <s v="SIX"/>
    <x v="24"/>
    <x v="1"/>
    <x v="1"/>
    <x v="1"/>
    <s v="Rango soporte–resistencia"/>
    <s v="Entrada en soporte validado"/>
    <s v="Bajo soporte"/>
    <s v="Centro/parte alta del rango"/>
    <x v="1"/>
    <s v="Táctico"/>
  </r>
  <r>
    <x v="35"/>
    <s v="NYSE"/>
    <x v="25"/>
    <x v="1"/>
    <x v="2"/>
    <x v="2"/>
    <s v="Rango soporte–resistencia"/>
    <s v="Entrada en soporte validado"/>
    <s v="Bajo soporte"/>
    <s v="Centro/parte alta del rango"/>
    <x v="1"/>
    <s v="Táctico"/>
  </r>
  <r>
    <x v="36"/>
    <s v="Nasdaq"/>
    <x v="25"/>
    <x v="1"/>
    <x v="2"/>
    <x v="0"/>
    <s v="Rango soporte–resistencia"/>
    <s v="Entrada en soporte validado"/>
    <s v="Bajo soporte"/>
    <s v="Centro/parte alta del rango"/>
    <x v="1"/>
    <s v="Táctico"/>
  </r>
  <r>
    <x v="37"/>
    <s v="BME Growth"/>
    <x v="26"/>
    <x v="1"/>
    <x v="2"/>
    <x v="0"/>
    <s v="Rango soporte–resistencia"/>
    <s v="Entrada en soporte validado"/>
    <s v="Bajo soporte"/>
    <s v="Centro/parte alta del rango"/>
    <x v="1"/>
    <s v="Táctico"/>
  </r>
  <r>
    <x v="38"/>
    <s v="IBEX 35"/>
    <x v="26"/>
    <x v="1"/>
    <x v="2"/>
    <x v="0"/>
    <s v="Rango soporte–resistencia"/>
    <s v="Entrada en soporte validado"/>
    <s v="Bajo soporte"/>
    <s v="Centro/parte alta del rango"/>
    <x v="1"/>
    <s v="Táctico"/>
  </r>
  <r>
    <x v="39"/>
    <s v="Euronext"/>
    <x v="26"/>
    <x v="1"/>
    <x v="2"/>
    <x v="0"/>
    <s v="Rango soporte–resistencia"/>
    <s v="Entrada en soporte validado"/>
    <s v="Bajo soporte"/>
    <s v="Centro/parte alta del rango"/>
    <x v="1"/>
    <s v="Táctico"/>
  </r>
  <r>
    <x v="40"/>
    <s v="NYSE"/>
    <x v="27"/>
    <x v="1"/>
    <x v="2"/>
    <x v="0"/>
    <s v="Rango soporte–resistencia"/>
    <s v="Entrada en soporte validado"/>
    <s v="Bajo soporte"/>
    <s v="Centro/parte alta del rango"/>
    <x v="1"/>
    <s v="Táctico"/>
  </r>
  <r>
    <x v="41"/>
    <s v="IBEX 35"/>
    <x v="27"/>
    <x v="1"/>
    <x v="2"/>
    <x v="0"/>
    <s v="Rango soporte–resistencia"/>
    <s v="Entrada en soporte validado"/>
    <s v="Bajo soporte"/>
    <s v="Centro/parte alta del rango"/>
    <x v="1"/>
    <s v="Táctico"/>
  </r>
  <r>
    <x v="42"/>
    <s v="DAX"/>
    <x v="28"/>
    <x v="1"/>
    <x v="2"/>
    <x v="0"/>
    <s v="Rango soporte–resistencia"/>
    <s v="Entrada en soporte validado"/>
    <s v="Bajo soporte"/>
    <s v="Centro/parte alta del rango"/>
    <x v="1"/>
    <s v="Táctico"/>
  </r>
  <r>
    <x v="43"/>
    <s v="NYSE"/>
    <x v="29"/>
    <x v="1"/>
    <x v="3"/>
    <x v="0"/>
    <s v="Rango soporte–resistencia"/>
    <s v="Entrada en soporte validado"/>
    <s v="Bajo soporte"/>
    <s v="Centro/parte alta del rango"/>
    <x v="1"/>
    <s v="Táctico"/>
  </r>
  <r>
    <x v="44"/>
    <s v="IBEX 35"/>
    <x v="29"/>
    <x v="1"/>
    <x v="3"/>
    <x v="2"/>
    <s v="Rango soporte–resistencia"/>
    <s v="Entrada en soporte validado"/>
    <s v="Bajo soporte"/>
    <s v="Centro/parte alta del rango"/>
    <x v="1"/>
    <s v="Táctico"/>
  </r>
  <r>
    <x v="45"/>
    <s v="IBEX 35"/>
    <x v="29"/>
    <x v="1"/>
    <x v="3"/>
    <x v="0"/>
    <s v="Rango soporte–resistencia"/>
    <s v="Entrada en soporte validado"/>
    <s v="Bajo soporte"/>
    <s v="Centro/parte alta del rango"/>
    <x v="1"/>
    <s v="Táctico"/>
  </r>
  <r>
    <x v="46"/>
    <s v="OTC"/>
    <x v="30"/>
    <x v="1"/>
    <x v="3"/>
    <x v="1"/>
    <s v="Rango soporte–resistencia"/>
    <s v="Entrada en soporte validado"/>
    <s v="Bajo soporte"/>
    <s v="Centro/parte alta del rango"/>
    <x v="1"/>
    <s v="Táctico"/>
  </r>
  <r>
    <x v="47"/>
    <s v="IBEX 35"/>
    <x v="30"/>
    <x v="1"/>
    <x v="3"/>
    <x v="0"/>
    <s v="Rango soporte–resistencia"/>
    <s v="Entrada en soporte validado"/>
    <s v="Bajo soporte"/>
    <s v="Centro/parte alta del rango"/>
    <x v="1"/>
    <s v="Táctico"/>
  </r>
  <r>
    <x v="48"/>
    <s v="IBEX 35"/>
    <x v="30"/>
    <x v="1"/>
    <x v="3"/>
    <x v="2"/>
    <s v="Rango soporte–resistencia"/>
    <s v="Entrada en soporte validado"/>
    <s v="Bajo soporte"/>
    <s v="Centro/parte alta del rango"/>
    <x v="1"/>
    <s v="Táctico"/>
  </r>
  <r>
    <x v="49"/>
    <s v="FTSE MIB"/>
    <x v="31"/>
    <x v="1"/>
    <x v="3"/>
    <x v="0"/>
    <s v="Rango soporte–resistencia"/>
    <s v="Entrada en soporte validado"/>
    <s v="Bajo soporte"/>
    <s v="Centro/parte alta del rango"/>
    <x v="1"/>
    <s v="Táctico"/>
  </r>
  <r>
    <x v="50"/>
    <s v="DAX"/>
    <x v="32"/>
    <x v="1"/>
    <x v="3"/>
    <x v="0"/>
    <s v="Rango soporte–resistencia"/>
    <s v="Entrada en soporte validado"/>
    <s v="Bajo soporte"/>
    <s v="Centro/parte alta del rango"/>
    <x v="1"/>
    <s v="Táctico"/>
  </r>
  <r>
    <x v="51"/>
    <s v="IBEX 35"/>
    <x v="32"/>
    <x v="1"/>
    <x v="1"/>
    <x v="1"/>
    <s v="Rango soporte–resistencia"/>
    <s v="Entrada en soporte validado"/>
    <s v="Bajo soporte"/>
    <s v="Centro/parte alta del rango"/>
    <x v="1"/>
    <s v="Táctico"/>
  </r>
  <r>
    <x v="52"/>
    <s v="Xetra"/>
    <x v="32"/>
    <x v="1"/>
    <x v="3"/>
    <x v="0"/>
    <s v="Rango soporte–resistencia"/>
    <s v="Entrada en soporte validado"/>
    <s v="Bajo soporte"/>
    <s v="Centro/parte alta del rango"/>
    <x v="1"/>
    <s v="Táctico"/>
  </r>
  <r>
    <x v="53"/>
    <s v="OTC"/>
    <x v="32"/>
    <x v="1"/>
    <x v="3"/>
    <x v="0"/>
    <s v="Rango soporte–resistencia"/>
    <s v="Entrada en soporte validado"/>
    <s v="Bajo soporte"/>
    <s v="Centro/parte alta del rango"/>
    <x v="1"/>
    <s v="Táctico"/>
  </r>
  <r>
    <x v="54"/>
    <s v="IBEX 35"/>
    <x v="33"/>
    <x v="1"/>
    <x v="3"/>
    <x v="0"/>
    <s v="Rango soporte–resistencia"/>
    <s v="Entrada en soporte validado"/>
    <s v="Bajo soporte"/>
    <s v="Centro/parte alta del rango"/>
    <x v="1"/>
    <s v="Táctico"/>
  </r>
  <r>
    <x v="55"/>
    <s v="Xetra"/>
    <x v="33"/>
    <x v="1"/>
    <x v="3"/>
    <x v="0"/>
    <s v="Rango soporte–resistencia"/>
    <s v="Entrada en soporte validado"/>
    <s v="Bajo soporte"/>
    <s v="Centro/parte alta del rango"/>
    <x v="1"/>
    <s v="Táctico"/>
  </r>
  <r>
    <x v="56"/>
    <s v="BME Growth"/>
    <x v="34"/>
    <x v="2"/>
    <x v="4"/>
    <x v="2"/>
    <s v="Evitar swing"/>
    <s v="—"/>
    <s v="—"/>
    <s v="—"/>
    <x v="2"/>
    <s v="Riesgo estructural"/>
  </r>
  <r>
    <x v="57"/>
    <s v="BME Growth"/>
    <x v="34"/>
    <x v="2"/>
    <x v="4"/>
    <x v="2"/>
    <s v="Evitar swing"/>
    <s v="—"/>
    <s v="—"/>
    <s v="—"/>
    <x v="2"/>
    <s v="Riesgo estructu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24407-9590-4680-9F93-0BC2E5FD8C7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E34" firstHeaderRow="1" firstDataRow="2" firstDataCol="1" rowPageCount="3" colPageCount="1"/>
  <pivotFields count="12">
    <pivotField axis="axisRow" showAll="0" sortType="descending">
      <items count="59">
        <item x="33"/>
        <item x="55"/>
        <item x="39"/>
        <item x="38"/>
        <item x="34"/>
        <item x="43"/>
        <item x="41"/>
        <item x="9"/>
        <item x="4"/>
        <item x="35"/>
        <item x="20"/>
        <item x="24"/>
        <item x="22"/>
        <item x="56"/>
        <item x="5"/>
        <item x="7"/>
        <item x="57"/>
        <item x="30"/>
        <item x="29"/>
        <item x="28"/>
        <item x="10"/>
        <item x="17"/>
        <item x="3"/>
        <item x="54"/>
        <item x="50"/>
        <item x="11"/>
        <item x="48"/>
        <item x="18"/>
        <item x="32"/>
        <item x="14"/>
        <item x="51"/>
        <item x="31"/>
        <item x="2"/>
        <item x="49"/>
        <item x="1"/>
        <item x="40"/>
        <item x="15"/>
        <item x="6"/>
        <item x="25"/>
        <item x="0"/>
        <item x="44"/>
        <item x="8"/>
        <item x="36"/>
        <item x="19"/>
        <item x="23"/>
        <item x="16"/>
        <item x="26"/>
        <item x="21"/>
        <item x="12"/>
        <item x="53"/>
        <item x="47"/>
        <item x="37"/>
        <item x="52"/>
        <item x="27"/>
        <item x="45"/>
        <item x="46"/>
        <item x="13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Col" showAll="0">
      <items count="6">
        <item x="4"/>
        <item x="3"/>
        <item x="2"/>
        <item x="1"/>
        <item x="0"/>
        <item t="default"/>
      </items>
    </pivotField>
    <pivotField axis="axisPage" multipleItemSelectionAllowed="1" showAll="0">
      <items count="5">
        <item x="0"/>
        <item h="1" x="3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</pivotFields>
  <rowFields count="1">
    <field x="0"/>
  </rowFields>
  <rowItems count="27">
    <i>
      <x v="39"/>
    </i>
    <i>
      <x v="34"/>
    </i>
    <i>
      <x v="32"/>
    </i>
    <i>
      <x v="22"/>
    </i>
    <i>
      <x v="8"/>
    </i>
    <i>
      <x v="37"/>
    </i>
    <i>
      <x v="14"/>
    </i>
    <i>
      <x v="15"/>
    </i>
    <i>
      <x v="41"/>
    </i>
    <i>
      <x v="7"/>
    </i>
    <i>
      <x v="20"/>
    </i>
    <i>
      <x v="25"/>
    </i>
    <i>
      <x v="48"/>
    </i>
    <i>
      <x v="45"/>
    </i>
    <i>
      <x v="36"/>
    </i>
    <i>
      <x v="29"/>
    </i>
    <i>
      <x v="21"/>
    </i>
    <i>
      <x v="27"/>
    </i>
    <i>
      <x v="43"/>
    </i>
    <i>
      <x v="10"/>
    </i>
    <i>
      <x v="47"/>
    </i>
    <i>
      <x v="12"/>
    </i>
    <i>
      <x v="11"/>
    </i>
    <i>
      <x v="44"/>
    </i>
    <i>
      <x v="46"/>
    </i>
    <i>
      <x v="38"/>
    </i>
    <i t="grand">
      <x/>
    </i>
  </rowItems>
  <colFields count="1">
    <field x="4"/>
  </colFields>
  <colItems count="4">
    <i>
      <x v="2"/>
    </i>
    <i>
      <x v="3"/>
    </i>
    <i>
      <x v="4"/>
    </i>
    <i t="grand">
      <x/>
    </i>
  </colItems>
  <pageFields count="3">
    <pageField fld="3" item="1" hier="-1"/>
    <pageField fld="5" hier="-1"/>
    <pageField fld="10" item="0" hier="-1"/>
  </pageFields>
  <dataFields count="1">
    <dataField name="Promedio de Probabilidad %" fld="2" subtotal="average" baseField="0" baseItem="0" numFmtId="189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E3961-0F20-4526-BD4D-BEAC110A5A7B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O30" firstHeaderRow="1" firstDataRow="2" firstDataCol="1" rowPageCount="1" colPageCount="1"/>
  <pivotFields count="39">
    <pivotField showAll="0"/>
    <pivotField axis="axisCol" showAll="0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</pivotField>
    <pivotField showAll="0"/>
    <pivotField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numFmtId="169" showAll="0"/>
    <pivotField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16">
        <item x="13"/>
        <item x="1"/>
        <item x="12"/>
        <item x="14"/>
        <item x="7"/>
        <item x="8"/>
        <item x="0"/>
        <item x="4"/>
        <item x="6"/>
        <item x="9"/>
        <item x="2"/>
        <item x="3"/>
        <item x="11"/>
        <item x="10"/>
        <item x="5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 sortType="ascending">
      <items count="13">
        <item x="9"/>
        <item x="11"/>
        <item x="6"/>
        <item x="4"/>
        <item x="7"/>
        <item x="10"/>
        <item x="5"/>
        <item x="8"/>
        <item x="0"/>
        <item x="3"/>
        <item x="2"/>
        <item x="1"/>
        <item t="default"/>
      </items>
    </pivotField>
    <pivotField axis="axisRow" showAll="0" sortType="ascending">
      <items count="16">
        <item x="12"/>
        <item x="9"/>
        <item x="2"/>
        <item h="1" x="6"/>
        <item x="11"/>
        <item x="14"/>
        <item x="8"/>
        <item x="7"/>
        <item x="0"/>
        <item x="5"/>
        <item h="1" x="3"/>
        <item h="1" x="4"/>
        <item x="10"/>
        <item x="13"/>
        <item h="1"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20"/>
    <field x="19"/>
  </rowFields>
  <rowItems count="25">
    <i>
      <x/>
    </i>
    <i r="1">
      <x v="6"/>
    </i>
    <i>
      <x v="1"/>
    </i>
    <i r="1">
      <x v="7"/>
    </i>
    <i>
      <x v="2"/>
    </i>
    <i r="1">
      <x v="6"/>
    </i>
    <i r="1">
      <x v="10"/>
    </i>
    <i>
      <x v="4"/>
    </i>
    <i r="1">
      <x/>
    </i>
    <i>
      <x v="5"/>
    </i>
    <i r="1">
      <x v="1"/>
    </i>
    <i>
      <x v="6"/>
    </i>
    <i r="1">
      <x v="4"/>
    </i>
    <i>
      <x v="7"/>
    </i>
    <i r="1">
      <x v="6"/>
    </i>
    <i>
      <x v="8"/>
    </i>
    <i r="1">
      <x v="2"/>
    </i>
    <i r="1">
      <x v="8"/>
    </i>
    <i>
      <x v="9"/>
    </i>
    <i r="1">
      <x v="3"/>
    </i>
    <i>
      <x v="12"/>
    </i>
    <i r="1">
      <x v="6"/>
    </i>
    <i>
      <x v="13"/>
    </i>
    <i r="1">
      <x v="5"/>
    </i>
    <i t="grand">
      <x/>
    </i>
  </rowItems>
  <colFields count="1">
    <field x="1"/>
  </colFields>
  <colItems count="14">
    <i>
      <x v="40"/>
    </i>
    <i>
      <x v="43"/>
    </i>
    <i>
      <x v="44"/>
    </i>
    <i>
      <x v="45"/>
    </i>
    <i>
      <x v="48"/>
    </i>
    <i>
      <x v="54"/>
    </i>
    <i>
      <x v="55"/>
    </i>
    <i>
      <x v="64"/>
    </i>
    <i>
      <x v="65"/>
    </i>
    <i>
      <x v="83"/>
    </i>
    <i>
      <x v="85"/>
    </i>
    <i>
      <x v="97"/>
    </i>
    <i>
      <x v="104"/>
    </i>
    <i t="grand">
      <x/>
    </i>
  </colItems>
  <pageFields count="1">
    <pageField fld="5" item="3" hier="-1"/>
  </pageFields>
  <dataFields count="1">
    <dataField name="Promedio de Close PT %" fld="22" subtotal="average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6BC1B-0D05-4086-9FCC-EF75B53D7384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L24" firstHeaderRow="1" firstDataRow="2" firstDataCol="1" rowPageCount="1" colPageCount="1"/>
  <pivotFields count="39">
    <pivotField showAll="0"/>
    <pivotField axis="axisCol" showAll="0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</pivotField>
    <pivotField showAll="0"/>
    <pivotField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numFmtId="169" showAll="0"/>
    <pivotField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>
      <items count="16">
        <item x="13"/>
        <item x="1"/>
        <item x="12"/>
        <item x="14"/>
        <item x="7"/>
        <item x="8"/>
        <item h="1" x="0"/>
        <item x="4"/>
        <item x="6"/>
        <item x="9"/>
        <item h="1" x="2"/>
        <item h="1" x="3"/>
        <item h="1" x="11"/>
        <item h="1" x="10"/>
        <item h="1" x="5"/>
        <item t="default"/>
      </items>
    </pivotField>
    <pivotField axis="axisRow" showAll="0" sortType="ascending">
      <items count="15">
        <item x="7"/>
        <item x="2"/>
        <item x="13"/>
        <item x="3"/>
        <item x="4"/>
        <item x="5"/>
        <item x="9"/>
        <item x="6"/>
        <item x="8"/>
        <item x="10"/>
        <item x="1"/>
        <item x="12"/>
        <item x="0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3"/>
    <field x="14"/>
  </rowFields>
  <rowItems count="19">
    <i>
      <x/>
    </i>
    <i r="1">
      <x v="8"/>
    </i>
    <i>
      <x v="1"/>
    </i>
    <i r="1">
      <x v="10"/>
    </i>
    <i>
      <x v="2"/>
    </i>
    <i r="1">
      <x v="9"/>
    </i>
    <i>
      <x v="3"/>
    </i>
    <i r="1">
      <x v="11"/>
    </i>
    <i>
      <x v="4"/>
    </i>
    <i r="1">
      <x v="3"/>
    </i>
    <i>
      <x v="5"/>
    </i>
    <i r="1">
      <x v="7"/>
    </i>
    <i>
      <x v="7"/>
    </i>
    <i r="1">
      <x v="3"/>
    </i>
    <i>
      <x v="8"/>
    </i>
    <i r="1">
      <x v="1"/>
    </i>
    <i>
      <x v="9"/>
    </i>
    <i r="1">
      <x/>
    </i>
    <i t="grand">
      <x/>
    </i>
  </rowItems>
  <colFields count="1">
    <field x="1"/>
  </colFields>
  <colItems count="11">
    <i>
      <x v="36"/>
    </i>
    <i>
      <x v="39"/>
    </i>
    <i>
      <x v="41"/>
    </i>
    <i>
      <x v="42"/>
    </i>
    <i>
      <x v="46"/>
    </i>
    <i>
      <x v="47"/>
    </i>
    <i>
      <x v="57"/>
    </i>
    <i>
      <x v="59"/>
    </i>
    <i>
      <x v="66"/>
    </i>
    <i>
      <x v="79"/>
    </i>
    <i t="grand">
      <x/>
    </i>
  </colItems>
  <pageFields count="1">
    <pageField fld="5" item="3" hier="-1"/>
  </pageFields>
  <dataFields count="1">
    <dataField name="Promedio de Close SL %" fld="16" subtotal="average" baseField="14" baseItem="8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1E4D3-C89A-4211-BF95-99BD20CAB477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L23" firstHeaderRow="1" firstDataRow="2" firstDataCol="1" rowPageCount="1" colPageCount="1"/>
  <pivotFields count="39">
    <pivotField showAll="0"/>
    <pivotField axis="axisCol" showAll="0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</pivotField>
    <pivotField showAll="0"/>
    <pivotField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numFmtId="169" showAll="0"/>
    <pivotField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>
      <items count="16">
        <item x="13"/>
        <item x="1"/>
        <item x="12"/>
        <item x="14"/>
        <item x="7"/>
        <item x="8"/>
        <item h="1" x="0"/>
        <item x="4"/>
        <item x="6"/>
        <item x="9"/>
        <item h="1" x="2"/>
        <item h="1" x="3"/>
        <item h="1" x="11"/>
        <item h="1" x="10"/>
        <item h="1" x="5"/>
        <item t="default"/>
      </items>
    </pivotField>
    <pivotField axis="axisRow" showAll="0" sortType="ascending">
      <items count="15">
        <item x="7"/>
        <item x="2"/>
        <item x="13"/>
        <item x="3"/>
        <item x="4"/>
        <item x="5"/>
        <item x="9"/>
        <item x="6"/>
        <item x="8"/>
        <item x="10"/>
        <item x="1"/>
        <item x="12"/>
        <item x="0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4"/>
    <field x="13"/>
  </rowFields>
  <rowItems count="18">
    <i>
      <x/>
    </i>
    <i r="1">
      <x v="9"/>
    </i>
    <i>
      <x v="1"/>
    </i>
    <i r="1">
      <x v="8"/>
    </i>
    <i>
      <x v="3"/>
    </i>
    <i r="1">
      <x v="4"/>
    </i>
    <i r="1">
      <x v="7"/>
    </i>
    <i>
      <x v="7"/>
    </i>
    <i r="1">
      <x v="5"/>
    </i>
    <i>
      <x v="8"/>
    </i>
    <i r="1">
      <x/>
    </i>
    <i>
      <x v="9"/>
    </i>
    <i r="1">
      <x v="2"/>
    </i>
    <i>
      <x v="10"/>
    </i>
    <i r="1">
      <x v="1"/>
    </i>
    <i>
      <x v="11"/>
    </i>
    <i r="1">
      <x v="3"/>
    </i>
    <i t="grand">
      <x/>
    </i>
  </rowItems>
  <colFields count="1">
    <field x="1"/>
  </colFields>
  <colItems count="11">
    <i>
      <x v="36"/>
    </i>
    <i>
      <x v="39"/>
    </i>
    <i>
      <x v="41"/>
    </i>
    <i>
      <x v="42"/>
    </i>
    <i>
      <x v="46"/>
    </i>
    <i>
      <x v="47"/>
    </i>
    <i>
      <x v="57"/>
    </i>
    <i>
      <x v="59"/>
    </i>
    <i>
      <x v="66"/>
    </i>
    <i>
      <x v="79"/>
    </i>
    <i t="grand">
      <x/>
    </i>
  </colItems>
  <pageFields count="1">
    <pageField fld="5" item="3" hier="-1"/>
  </pageFields>
  <dataFields count="1">
    <dataField name="Promedio de Close SL %" fld="16" subtotal="average" baseField="14" baseItem="8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9E478-4AFB-4C10-A090-600CC53109BB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40" firstHeaderRow="0" firstDataRow="1" firstDataCol="1" rowPageCount="1" colPageCount="1"/>
  <pivotFields count="39">
    <pivotField showAll="0"/>
    <pivotField axis="axisRow" showAll="0" sortType="ascending">
      <items count="113">
        <item x="1"/>
        <item x="0"/>
        <item x="3"/>
        <item x="2"/>
        <item x="4"/>
        <item x="6"/>
        <item x="5"/>
        <item x="8"/>
        <item x="7"/>
        <item x="17"/>
        <item x="9"/>
        <item x="11"/>
        <item x="10"/>
        <item x="12"/>
        <item x="13"/>
        <item x="16"/>
        <item x="15"/>
        <item x="14"/>
        <item x="19"/>
        <item x="18"/>
        <item x="20"/>
        <item x="21"/>
        <item x="22"/>
        <item x="24"/>
        <item x="23"/>
        <item x="25"/>
        <item x="29"/>
        <item x="26"/>
        <item x="27"/>
        <item x="28"/>
        <item x="30"/>
        <item x="33"/>
        <item x="31"/>
        <item x="32"/>
        <item x="35"/>
        <item x="34"/>
        <item x="39"/>
        <item x="38"/>
        <item x="37"/>
        <item x="36"/>
        <item x="41"/>
        <item x="40"/>
        <item x="42"/>
        <item x="44"/>
        <item x="43"/>
        <item x="45"/>
        <item x="46"/>
        <item x="48"/>
        <item x="47"/>
        <item x="49"/>
        <item x="50"/>
        <item x="51"/>
        <item x="53"/>
        <item x="52"/>
        <item x="54"/>
        <item x="55"/>
        <item x="57"/>
        <item x="56"/>
        <item x="59"/>
        <item x="58"/>
        <item x="60"/>
        <item x="61"/>
        <item x="62"/>
        <item x="63"/>
        <item x="64"/>
        <item x="66"/>
        <item x="65"/>
        <item x="68"/>
        <item x="67"/>
        <item x="69"/>
        <item x="70"/>
        <item x="71"/>
        <item x="72"/>
        <item x="73"/>
        <item x="74"/>
        <item x="78"/>
        <item x="76"/>
        <item x="75"/>
        <item x="77"/>
        <item x="79"/>
        <item x="80"/>
        <item x="82"/>
        <item m="1" x="110"/>
        <item x="81"/>
        <item x="83"/>
        <item x="84"/>
        <item x="85"/>
        <item x="86"/>
        <item x="87"/>
        <item x="89"/>
        <item x="88"/>
        <item x="90"/>
        <item x="91"/>
        <item x="93"/>
        <item x="92"/>
        <item x="94"/>
        <item x="95"/>
        <item x="96"/>
        <item x="97"/>
        <item x="98"/>
        <item x="101"/>
        <item x="99"/>
        <item x="100"/>
        <item x="102"/>
        <item x="103"/>
        <item x="109"/>
        <item x="108"/>
        <item x="105"/>
        <item x="104"/>
        <item x="107"/>
        <item x="106"/>
        <item m="1" x="111"/>
        <item t="default"/>
      </items>
    </pivotField>
    <pivotField showAll="0"/>
    <pivotField dataField="1"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numFmtId="169" showAll="0"/>
    <pivotField dataField="1"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16">
        <item x="13"/>
        <item x="1"/>
        <item x="12"/>
        <item x="14"/>
        <item x="7"/>
        <item x="8"/>
        <item x="0"/>
        <item x="4"/>
        <item x="6"/>
        <item x="9"/>
        <item x="2"/>
        <item x="3"/>
        <item x="11"/>
        <item x="10"/>
        <item x="5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1"/>
  </rowFields>
  <rowItems count="37">
    <i>
      <x v="1"/>
    </i>
    <i>
      <x v="3"/>
    </i>
    <i>
      <x v="6"/>
    </i>
    <i>
      <x v="8"/>
    </i>
    <i>
      <x v="12"/>
    </i>
    <i>
      <x v="16"/>
    </i>
    <i>
      <x v="19"/>
    </i>
    <i>
      <x v="21"/>
    </i>
    <i>
      <x v="24"/>
    </i>
    <i>
      <x v="27"/>
    </i>
    <i>
      <x v="28"/>
    </i>
    <i>
      <x v="29"/>
    </i>
    <i>
      <x v="32"/>
    </i>
    <i>
      <x v="33"/>
    </i>
    <i>
      <x v="37"/>
    </i>
    <i>
      <x v="39"/>
    </i>
    <i>
      <x v="41"/>
    </i>
    <i>
      <x v="44"/>
    </i>
    <i>
      <x v="48"/>
    </i>
    <i>
      <x v="53"/>
    </i>
    <i>
      <x v="57"/>
    </i>
    <i>
      <x v="59"/>
    </i>
    <i>
      <x v="66"/>
    </i>
    <i>
      <x v="68"/>
    </i>
    <i>
      <x v="76"/>
    </i>
    <i>
      <x v="77"/>
    </i>
    <i>
      <x v="78"/>
    </i>
    <i>
      <x v="83"/>
    </i>
    <i>
      <x v="85"/>
    </i>
    <i>
      <x v="90"/>
    </i>
    <i>
      <x v="94"/>
    </i>
    <i>
      <x v="101"/>
    </i>
    <i>
      <x v="102"/>
    </i>
    <i>
      <x v="106"/>
    </i>
    <i>
      <x v="108"/>
    </i>
    <i>
      <x v="11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5" item="3" hier="-1"/>
  </pageFields>
  <dataFields count="8">
    <dataField name="Promedio de date actual" fld="7" subtotal="average" baseField="1" baseItem="40" numFmtId="14"/>
    <dataField name="Suma de Ammount" fld="3" baseField="0" baseItem="0"/>
    <dataField name="Promedio de delta TP" fld="20" subtotal="average" baseField="1" baseItem="15" numFmtId="176"/>
    <dataField name="Suma de Close PT Abs" fld="21" baseField="1" baseItem="40" numFmtId="8"/>
    <dataField name="Promedio de Close PT %" fld="22" subtotal="average" baseField="1" baseItem="15" numFmtId="179"/>
    <dataField name="Promedio de delta SL" fld="14" subtotal="average" baseField="1" baseItem="47" numFmtId="171"/>
    <dataField name="Promedio de Close SL Abs" fld="15" subtotal="average" baseField="1" baseItem="47" numFmtId="8"/>
    <dataField name="Promedio de Close SL %" fld="16" subtotal="average" baseField="1" baseItem="59" numFmtId="180"/>
  </dataFields>
  <formats count="12">
    <format dxfId="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1" count="24">
            <x v="4"/>
            <x v="11"/>
            <x v="13"/>
            <x v="20"/>
            <x v="22"/>
            <x v="25"/>
            <x v="26"/>
            <x v="38"/>
            <x v="40"/>
            <x v="43"/>
            <x v="55"/>
            <x v="56"/>
            <x v="64"/>
            <x v="75"/>
            <x v="79"/>
            <x v="81"/>
            <x v="84"/>
            <x v="86"/>
            <x v="92"/>
            <x v="93"/>
            <x v="95"/>
            <x v="96"/>
            <x v="100"/>
            <x v="105"/>
          </reference>
        </references>
      </pivotArea>
    </format>
    <format dxfId="4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1">
      <pivotArea outline="0" fieldPosition="0">
        <references count="1">
          <reference field="4294967294" count="1">
            <x v="2"/>
          </reference>
        </references>
      </pivotArea>
    </format>
    <format dxfId="42">
      <pivotArea outline="0" fieldPosition="0">
        <references count="1">
          <reference field="4294967294" count="1">
            <x v="3"/>
          </reference>
        </references>
      </pivotArea>
    </format>
    <format dxfId="43">
      <pivotArea outline="0" fieldPosition="0">
        <references count="1">
          <reference field="4294967294" count="1">
            <x v="4"/>
          </reference>
        </references>
      </pivotArea>
    </format>
    <format dxfId="44">
      <pivotArea outline="0" fieldPosition="0">
        <references count="1">
          <reference field="4294967294" count="1">
            <x v="7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7"/>
          </reference>
          <reference field="1" count="10">
            <x v="27"/>
            <x v="32"/>
            <x v="37"/>
            <x v="41"/>
            <x v="44"/>
            <x v="59"/>
            <x v="76"/>
            <x v="77"/>
            <x v="83"/>
            <x v="101"/>
          </reference>
        </references>
      </pivotArea>
    </format>
    <format dxfId="46">
      <pivotArea field="1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47">
      <pivotArea outline="0" fieldPosition="0">
        <references count="1">
          <reference field="4294967294" count="1">
            <x v="6"/>
          </reference>
        </references>
      </pivotArea>
    </format>
    <format dxfId="48">
      <pivotArea outline="0" fieldPosition="0">
        <references count="1">
          <reference field="4294967294" count="1">
            <x v="5"/>
          </reference>
        </references>
      </pivotArea>
    </format>
    <format dxfId="4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A5791-4C05-48A5-BFD7-83FC5FEC65C2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40" firstHeaderRow="0" firstDataRow="1" firstDataCol="1" rowPageCount="1" colPageCount="1"/>
  <pivotFields count="39">
    <pivotField showAll="0"/>
    <pivotField axis="axisRow" showAll="0" sortType="ascending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numFmtId="169" showAll="0"/>
    <pivotField dataField="1"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16">
        <item x="13"/>
        <item x="1"/>
        <item x="12"/>
        <item x="14"/>
        <item x="7"/>
        <item x="8"/>
        <item x="0"/>
        <item x="4"/>
        <item x="6"/>
        <item x="9"/>
        <item x="2"/>
        <item x="3"/>
        <item x="11"/>
        <item x="10"/>
        <item x="5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1"/>
  </rowFields>
  <rowItems count="37">
    <i>
      <x v="36"/>
    </i>
    <i>
      <x v="39"/>
    </i>
    <i>
      <x v="45"/>
    </i>
    <i>
      <x v="44"/>
    </i>
    <i>
      <x v="85"/>
    </i>
    <i>
      <x v="41"/>
    </i>
    <i>
      <x v="42"/>
    </i>
    <i>
      <x v="43"/>
    </i>
    <i>
      <x v="40"/>
    </i>
    <i>
      <x v="65"/>
    </i>
    <i>
      <x v="48"/>
    </i>
    <i>
      <x v="106"/>
    </i>
    <i>
      <x v="105"/>
    </i>
    <i>
      <x v="55"/>
    </i>
    <i>
      <x v="97"/>
    </i>
    <i>
      <x v="47"/>
    </i>
    <i>
      <x v="46"/>
    </i>
    <i>
      <x v="54"/>
    </i>
    <i>
      <x v="57"/>
    </i>
    <i>
      <x v="98"/>
    </i>
    <i>
      <x v="66"/>
    </i>
    <i>
      <x v="104"/>
    </i>
    <i>
      <x v="64"/>
    </i>
    <i>
      <x v="109"/>
    </i>
    <i>
      <x v="79"/>
    </i>
    <i>
      <x v="83"/>
    </i>
    <i>
      <x v="107"/>
    </i>
    <i>
      <x v="100"/>
    </i>
    <i>
      <x v="102"/>
    </i>
    <i>
      <x v="59"/>
    </i>
    <i>
      <x v="99"/>
    </i>
    <i>
      <x v="108"/>
    </i>
    <i>
      <x v="101"/>
    </i>
    <i>
      <x v="110"/>
    </i>
    <i>
      <x v="103"/>
    </i>
    <i>
      <x v="11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5" item="3" hier="-1"/>
  </pageFields>
  <dataFields count="8">
    <dataField name="Promedio de date actual" fld="7" subtotal="average" baseField="1" baseItem="40" numFmtId="14"/>
    <dataField name="Suma de Ammount" fld="3" baseField="0" baseItem="0"/>
    <dataField name="Promedio de delta TP" fld="20" subtotal="average" baseField="1" baseItem="15" numFmtId="176"/>
    <dataField name="Suma de Close PT Abs" fld="21" baseField="1" baseItem="40" numFmtId="8"/>
    <dataField name="Promedio de Close PT %" fld="22" subtotal="average" baseField="1" baseItem="15" numFmtId="179"/>
    <dataField name="Promedio de delta SL" fld="14" subtotal="average" baseField="1" baseItem="47" numFmtId="171"/>
    <dataField name="Promedio de Close SL Abs" fld="15" subtotal="average" baseField="1" baseItem="47" numFmtId="8"/>
    <dataField name="Promedio de Close SL %" fld="16" subtotal="average" baseField="1" baseItem="59" numFmtId="180"/>
  </dataFields>
  <formats count="12"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1"/>
          </reference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2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9">
      <pivotArea outline="0" fieldPosition="0">
        <references count="1">
          <reference field="4294967294" count="1">
            <x v="2"/>
          </reference>
        </references>
      </pivotArea>
    </format>
    <format dxfId="30">
      <pivotArea outline="0" fieldPosition="0">
        <references count="1">
          <reference field="4294967294" count="1">
            <x v="3"/>
          </reference>
        </references>
      </pivotArea>
    </format>
    <format dxfId="31">
      <pivotArea outline="0" fieldPosition="0">
        <references count="1">
          <reference field="4294967294" count="1">
            <x v="4"/>
          </reference>
        </references>
      </pivotArea>
    </format>
    <format dxfId="32">
      <pivotArea outline="0" fieldPosition="0">
        <references count="1">
          <reference field="4294967294" count="1">
            <x v="7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7"/>
          </reference>
          <reference field="1" count="10">
            <x v="36"/>
            <x v="39"/>
            <x v="41"/>
            <x v="42"/>
            <x v="46"/>
            <x v="47"/>
            <x v="57"/>
            <x v="59"/>
            <x v="66"/>
            <x v="79"/>
          </reference>
        </references>
      </pivotArea>
    </format>
    <format dxfId="34">
      <pivotArea field="1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35">
      <pivotArea outline="0" fieldPosition="0">
        <references count="1">
          <reference field="4294967294" count="1">
            <x v="6"/>
          </reference>
        </references>
      </pivotArea>
    </format>
    <format dxfId="36">
      <pivotArea outline="0" fieldPosition="0">
        <references count="1">
          <reference field="4294967294" count="1">
            <x v="5"/>
          </reference>
        </references>
      </pivotArea>
    </format>
    <format dxfId="3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DA798-0BAD-4F82-A400-B4610E1B31AE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40" firstHeaderRow="0" firstDataRow="1" firstDataCol="1" rowPageCount="1" colPageCount="1"/>
  <pivotFields count="39">
    <pivotField showAll="0"/>
    <pivotField axis="axisRow" showAll="0" sortType="descending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numFmtId="169" showAll="0"/>
    <pivotField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>
      <items count="16">
        <item x="13"/>
        <item x="1"/>
        <item x="12"/>
        <item x="14"/>
        <item x="7"/>
        <item x="8"/>
        <item x="0"/>
        <item x="4"/>
        <item x="6"/>
        <item x="9"/>
        <item x="2"/>
        <item x="3"/>
        <item x="11"/>
        <item x="1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7">
    <i>
      <x v="85"/>
    </i>
    <i>
      <x v="65"/>
    </i>
    <i>
      <x v="106"/>
    </i>
    <i>
      <x v="105"/>
    </i>
    <i>
      <x v="44"/>
    </i>
    <i>
      <x v="97"/>
    </i>
    <i>
      <x v="45"/>
    </i>
    <i>
      <x v="55"/>
    </i>
    <i>
      <x v="48"/>
    </i>
    <i>
      <x v="43"/>
    </i>
    <i>
      <x v="40"/>
    </i>
    <i>
      <x v="98"/>
    </i>
    <i>
      <x v="104"/>
    </i>
    <i>
      <x v="54"/>
    </i>
    <i>
      <x v="64"/>
    </i>
    <i>
      <x v="83"/>
    </i>
    <i>
      <x v="99"/>
    </i>
    <i>
      <x v="47"/>
    </i>
    <i>
      <x v="101"/>
    </i>
    <i>
      <x v="109"/>
    </i>
    <i>
      <x v="107"/>
    </i>
    <i>
      <x v="79"/>
    </i>
    <i>
      <x v="100"/>
    </i>
    <i>
      <x v="102"/>
    </i>
    <i>
      <x v="110"/>
    </i>
    <i>
      <x v="103"/>
    </i>
    <i>
      <x v="57"/>
    </i>
    <i>
      <x v="39"/>
    </i>
    <i>
      <x v="42"/>
    </i>
    <i>
      <x v="108"/>
    </i>
    <i>
      <x v="59"/>
    </i>
    <i>
      <x v="41"/>
    </i>
    <i>
      <x v="46"/>
    </i>
    <i>
      <x v="111"/>
    </i>
    <i>
      <x v="36"/>
    </i>
    <i>
      <x v="6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" item="3" hier="-1"/>
  </pageFields>
  <dataFields count="6">
    <dataField name="Suma de Ammount" fld="3" baseField="1" baseItem="54" numFmtId="8"/>
    <dataField name="Promedio de PE" fld="9" subtotal="average" baseField="1" baseItem="15" numFmtId="181"/>
    <dataField name="Promedio de Latest Q" fld="26" subtotal="average" baseField="1" baseItem="15" numFmtId="181"/>
    <dataField name="Promedio de delta TP" fld="20" subtotal="average" baseField="1" baseItem="15" numFmtId="176"/>
    <dataField name="Suma de Close PT Abs" fld="21" baseField="1" baseItem="40" numFmtId="8"/>
    <dataField name="Promedio de Close PT %" fld="22" subtotal="average" baseField="1" baseItem="15" numFmtId="179"/>
  </dataFields>
  <formats count="10"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outline="0" fieldPosition="0">
        <references count="1">
          <reference field="4294967294" count="1">
            <x v="1"/>
          </reference>
        </references>
      </pivotArea>
    </format>
    <format dxfId="21">
      <pivotArea outline="0" fieldPosition="0">
        <references count="1">
          <reference field="4294967294" count="1">
            <x v="2"/>
          </reference>
        </references>
      </pivotArea>
    </format>
    <format dxfId="22">
      <pivotArea outline="0" fieldPosition="0">
        <references count="1">
          <reference field="4294967294" count="1">
            <x v="3"/>
          </reference>
        </references>
      </pivotArea>
    </format>
    <format dxfId="23">
      <pivotArea outline="0" fieldPosition="0">
        <references count="1">
          <reference field="4294967294" count="1">
            <x v="4"/>
          </reference>
        </references>
      </pivotArea>
    </format>
    <format dxfId="24">
      <pivotArea outline="0" fieldPosition="0">
        <references count="1">
          <reference field="4294967294" count="1">
            <x v="5"/>
          </reference>
        </references>
      </pivotArea>
    </format>
    <format dxfId="2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C72A9-5AA0-46AF-A187-DCABD581A15B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40" firstHeaderRow="0" firstDataRow="1" firstDataCol="1" rowPageCount="1" colPageCount="1"/>
  <pivotFields count="39">
    <pivotField showAll="0"/>
    <pivotField axis="axisRow" showAll="0" sortType="descending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numFmtId="169" showAll="0"/>
    <pivotField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>
      <items count="16">
        <item x="13"/>
        <item x="1"/>
        <item x="12"/>
        <item x="14"/>
        <item x="7"/>
        <item x="8"/>
        <item x="0"/>
        <item x="4"/>
        <item x="6"/>
        <item x="9"/>
        <item x="2"/>
        <item x="3"/>
        <item x="11"/>
        <item x="10"/>
        <item x="5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7">
    <i>
      <x v="42"/>
    </i>
    <i>
      <x v="39"/>
    </i>
    <i>
      <x v="41"/>
    </i>
    <i>
      <x v="109"/>
    </i>
    <i>
      <x v="36"/>
    </i>
    <i>
      <x v="47"/>
    </i>
    <i>
      <x v="107"/>
    </i>
    <i>
      <x v="102"/>
    </i>
    <i>
      <x v="110"/>
    </i>
    <i>
      <x v="111"/>
    </i>
    <i>
      <x v="100"/>
    </i>
    <i>
      <x v="57"/>
    </i>
    <i>
      <x v="46"/>
    </i>
    <i>
      <x v="108"/>
    </i>
    <i>
      <x v="99"/>
    </i>
    <i>
      <x v="101"/>
    </i>
    <i>
      <x v="59"/>
    </i>
    <i>
      <x v="103"/>
    </i>
    <i>
      <x v="79"/>
    </i>
    <i>
      <x v="66"/>
    </i>
    <i>
      <x v="83"/>
    </i>
    <i>
      <x v="64"/>
    </i>
    <i>
      <x v="105"/>
    </i>
    <i>
      <x v="97"/>
    </i>
    <i>
      <x v="40"/>
    </i>
    <i>
      <x v="98"/>
    </i>
    <i>
      <x v="104"/>
    </i>
    <i>
      <x v="48"/>
    </i>
    <i>
      <x v="106"/>
    </i>
    <i>
      <x v="54"/>
    </i>
    <i>
      <x v="65"/>
    </i>
    <i>
      <x v="55"/>
    </i>
    <i>
      <x v="43"/>
    </i>
    <i>
      <x v="44"/>
    </i>
    <i>
      <x v="85"/>
    </i>
    <i>
      <x v="4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" item="3" hier="-1"/>
  </pageFields>
  <dataFields count="6">
    <dataField name="Suma de Ammount" fld="3" baseField="1" baseItem="36" numFmtId="8"/>
    <dataField name="Promedio de PE" fld="9" subtotal="average" baseField="1" baseItem="15" numFmtId="181"/>
    <dataField name="Promedio de Latest Q" fld="26" subtotal="average" baseField="1" baseItem="15" numFmtId="181"/>
    <dataField name="Promedio de delta SL" fld="14" subtotal="average" baseField="1" baseItem="15" numFmtId="176"/>
    <dataField name="Suma de Close SL Abs" fld="15" baseField="1" baseItem="39" numFmtId="8"/>
    <dataField name="Promedio de Close SL %" fld="16" subtotal="average" baseField="1" baseItem="15" numFmtId="179"/>
  </dataFields>
  <formats count="10"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fieldPosition="0">
        <references count="1">
          <reference field="4294967294" count="1">
            <x v="1"/>
          </reference>
        </references>
      </pivotArea>
    </format>
    <format dxfId="11">
      <pivotArea outline="0" fieldPosition="0">
        <references count="1">
          <reference field="4294967294" count="1">
            <x v="2"/>
          </reference>
        </references>
      </pivotArea>
    </format>
    <format dxfId="12">
      <pivotArea outline="0" fieldPosition="0">
        <references count="1">
          <reference field="4294967294" count="1">
            <x v="3"/>
          </reference>
        </references>
      </pivotArea>
    </format>
    <format dxfId="13">
      <pivotArea outline="0" fieldPosition="0">
        <references count="1">
          <reference field="4294967294" count="1">
            <x v="4"/>
          </reference>
        </references>
      </pivotArea>
    </format>
    <format dxfId="14">
      <pivotArea outline="0" fieldPosition="0">
        <references count="1">
          <reference field="4294967294" count="1">
            <x v="5"/>
          </reference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2E9E6-6620-499D-BB67-E5E5DA153B95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32" firstHeaderRow="0" firstDataRow="1" firstDataCol="1" rowPageCount="1" colPageCount="1"/>
  <pivotFields count="39">
    <pivotField showAll="0"/>
    <pivotField axis="axisRow" showAll="0" sortType="descending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dataField="1" showAll="0"/>
    <pivotField dataField="1"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dataField="1" numFmtId="169" showAll="0"/>
    <pivotField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>
      <items count="16">
        <item x="13"/>
        <item x="1"/>
        <item x="12"/>
        <item x="14"/>
        <item x="7"/>
        <item x="8"/>
        <item x="0"/>
        <item x="4"/>
        <item x="6"/>
        <item x="9"/>
        <item x="2"/>
        <item x="3"/>
        <item x="11"/>
        <item x="1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9">
    <i>
      <x v="9"/>
    </i>
    <i>
      <x v="8"/>
    </i>
    <i>
      <x v="93"/>
    </i>
    <i>
      <x v="95"/>
    </i>
    <i>
      <x v="7"/>
    </i>
    <i>
      <x v="71"/>
    </i>
    <i>
      <x v="4"/>
    </i>
    <i>
      <x v="12"/>
    </i>
    <i>
      <x v="28"/>
    </i>
    <i>
      <x v="91"/>
    </i>
    <i>
      <x v="90"/>
    </i>
    <i>
      <x v="86"/>
    </i>
    <i>
      <x v="2"/>
    </i>
    <i>
      <x v="74"/>
    </i>
    <i>
      <x v="22"/>
    </i>
    <i>
      <x v="17"/>
    </i>
    <i>
      <x v="72"/>
    </i>
    <i>
      <x v="18"/>
    </i>
    <i>
      <x v="69"/>
    </i>
    <i>
      <x v="6"/>
    </i>
    <i>
      <x v="14"/>
    </i>
    <i>
      <x v="16"/>
    </i>
    <i>
      <x v="92"/>
    </i>
    <i>
      <x v="62"/>
    </i>
    <i>
      <x v="30"/>
    </i>
    <i>
      <x v="89"/>
    </i>
    <i>
      <x v="15"/>
    </i>
    <i>
      <x v="58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5" item="0" hier="-1"/>
  </pageFields>
  <dataFields count="9">
    <dataField name="Suma de Ammount" fld="3" baseField="1" baseItem="7" numFmtId="8"/>
    <dataField name="Promedio de Ratio" fld="25" subtotal="average" baseField="1" baseItem="7" numFmtId="165"/>
    <dataField name="Promedio de  @today" fld="27" subtotal="average" baseField="1" baseItem="19" numFmtId="176"/>
    <dataField name="Promedio de PE" fld="9" subtotal="average" baseField="0" baseItem="0" numFmtId="167"/>
    <dataField name="Promedio de Latest Q" fld="26" subtotal="average" baseField="0" baseItem="0" numFmtId="167"/>
    <dataField name="Promedio de Trend" fld="6" subtotal="average" baseField="1" baseItem="33" numFmtId="169"/>
    <dataField name="Suma de Success" fld="2" baseField="1" baseItem="33"/>
    <dataField name="Promedio de LQ % to SL" fld="29" subtotal="average" baseField="1" baseItem="18" numFmtId="168"/>
    <dataField name="Promedio de LQ % to TP" fld="30" subtotal="average" baseField="1" baseItem="18" numFmtId="168"/>
  </dataFields>
  <formats count="22"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0"/>
          </reference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1"/>
          </reference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5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6">
      <pivotArea outline="0" fieldPosition="0">
        <references count="1">
          <reference field="4294967294" count="1">
            <x v="2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58">
      <pivotArea collapsedLevelsAreSubtotals="1" fieldPosition="0">
        <references count="2">
          <reference field="4294967294" count="2" selected="0">
            <x v="3"/>
            <x v="4"/>
          </reference>
          <reference field="1" count="18">
            <x v="1"/>
            <x v="2"/>
            <x v="3"/>
            <x v="4"/>
            <x v="11"/>
            <x v="12"/>
            <x v="13"/>
            <x v="14"/>
            <x v="15"/>
            <x v="16"/>
            <x v="17"/>
            <x v="18"/>
            <x v="19"/>
            <x v="22"/>
            <x v="23"/>
            <x v="25"/>
            <x v="32"/>
            <x v="33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5"/>
          </reference>
          <reference field="1" count="18">
            <x v="1"/>
            <x v="2"/>
            <x v="3"/>
            <x v="4"/>
            <x v="11"/>
            <x v="12"/>
            <x v="13"/>
            <x v="14"/>
            <x v="15"/>
            <x v="16"/>
            <x v="17"/>
            <x v="18"/>
            <x v="19"/>
            <x v="22"/>
            <x v="23"/>
            <x v="25"/>
            <x v="32"/>
            <x v="33"/>
          </reference>
        </references>
      </pivotArea>
    </format>
    <format dxfId="60">
      <pivotArea outline="0" fieldPosition="0">
        <references count="1">
          <reference field="4294967294" count="1">
            <x v="7"/>
          </reference>
        </references>
      </pivotArea>
    </format>
    <format dxfId="61">
      <pivotArea outline="0" fieldPosition="0">
        <references count="1">
          <reference field="4294967294" count="1">
            <x v="8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0"/>
          </reference>
          <reference field="1" count="17">
            <x v="1"/>
            <x v="2"/>
            <x v="3"/>
            <x v="4"/>
            <x v="11"/>
            <x v="12"/>
            <x v="14"/>
            <x v="15"/>
            <x v="17"/>
            <x v="18"/>
            <x v="19"/>
            <x v="22"/>
            <x v="23"/>
            <x v="25"/>
            <x v="32"/>
            <x v="33"/>
            <x v="37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1"/>
          </reference>
          <reference field="1" count="17">
            <x v="1"/>
            <x v="2"/>
            <x v="3"/>
            <x v="4"/>
            <x v="11"/>
            <x v="12"/>
            <x v="14"/>
            <x v="15"/>
            <x v="17"/>
            <x v="18"/>
            <x v="19"/>
            <x v="22"/>
            <x v="23"/>
            <x v="25"/>
            <x v="32"/>
            <x v="33"/>
            <x v="37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0"/>
          </reference>
          <reference field="1" count="19">
            <x v="2"/>
            <x v="4"/>
            <x v="7"/>
            <x v="12"/>
            <x v="14"/>
            <x v="15"/>
            <x v="16"/>
            <x v="17"/>
            <x v="18"/>
            <x v="30"/>
            <x v="31"/>
            <x v="32"/>
            <x v="33"/>
            <x v="49"/>
            <x v="52"/>
            <x v="69"/>
            <x v="71"/>
            <x v="72"/>
            <x v="74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1"/>
          </reference>
          <reference field="1" count="19">
            <x v="2"/>
            <x v="4"/>
            <x v="7"/>
            <x v="12"/>
            <x v="14"/>
            <x v="15"/>
            <x v="16"/>
            <x v="17"/>
            <x v="18"/>
            <x v="30"/>
            <x v="31"/>
            <x v="32"/>
            <x v="33"/>
            <x v="49"/>
            <x v="52"/>
            <x v="69"/>
            <x v="71"/>
            <x v="72"/>
            <x v="74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5"/>
          </reference>
          <reference field="1" count="19">
            <x v="2"/>
            <x v="4"/>
            <x v="7"/>
            <x v="12"/>
            <x v="14"/>
            <x v="15"/>
            <x v="16"/>
            <x v="17"/>
            <x v="18"/>
            <x v="30"/>
            <x v="31"/>
            <x v="32"/>
            <x v="33"/>
            <x v="49"/>
            <x v="52"/>
            <x v="69"/>
            <x v="71"/>
            <x v="72"/>
            <x v="74"/>
          </reference>
        </references>
      </pivotArea>
    </format>
    <format dxfId="67">
      <pivotArea outline="0" fieldPosition="0">
        <references count="1">
          <reference field="4294967294" count="1">
            <x v="0"/>
          </reference>
        </references>
      </pivotArea>
    </format>
    <format dxfId="68">
      <pivotArea outline="0" fieldPosition="0">
        <references count="1">
          <reference field="4294967294" count="1">
            <x v="1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5"/>
          </reference>
          <reference field="1" count="28">
            <x v="2"/>
            <x v="4"/>
            <x v="6"/>
            <x v="7"/>
            <x v="8"/>
            <x v="9"/>
            <x v="12"/>
            <x v="14"/>
            <x v="15"/>
            <x v="16"/>
            <x v="17"/>
            <x v="18"/>
            <x v="22"/>
            <x v="28"/>
            <x v="30"/>
            <x v="58"/>
            <x v="62"/>
            <x v="69"/>
            <x v="71"/>
            <x v="72"/>
            <x v="74"/>
            <x v="86"/>
            <x v="89"/>
            <x v="90"/>
            <x v="91"/>
            <x v="92"/>
            <x v="93"/>
            <x v="95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7"/>
          </reference>
          <reference field="1" count="28">
            <x v="2"/>
            <x v="4"/>
            <x v="6"/>
            <x v="7"/>
            <x v="8"/>
            <x v="9"/>
            <x v="12"/>
            <x v="14"/>
            <x v="15"/>
            <x v="16"/>
            <x v="17"/>
            <x v="18"/>
            <x v="22"/>
            <x v="28"/>
            <x v="30"/>
            <x v="58"/>
            <x v="62"/>
            <x v="69"/>
            <x v="71"/>
            <x v="72"/>
            <x v="74"/>
            <x v="86"/>
            <x v="89"/>
            <x v="90"/>
            <x v="91"/>
            <x v="92"/>
            <x v="93"/>
            <x v="95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8"/>
          </reference>
          <reference field="1" count="28">
            <x v="2"/>
            <x v="4"/>
            <x v="6"/>
            <x v="7"/>
            <x v="8"/>
            <x v="9"/>
            <x v="12"/>
            <x v="14"/>
            <x v="15"/>
            <x v="16"/>
            <x v="17"/>
            <x v="18"/>
            <x v="22"/>
            <x v="28"/>
            <x v="30"/>
            <x v="58"/>
            <x v="62"/>
            <x v="69"/>
            <x v="71"/>
            <x v="72"/>
            <x v="74"/>
            <x v="86"/>
            <x v="89"/>
            <x v="90"/>
            <x v="91"/>
            <x v="92"/>
            <x v="93"/>
            <x v="95"/>
          </reference>
        </references>
      </pivotArea>
    </format>
  </formats>
  <conditionalFormats count="5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18">
              <x v="1"/>
              <x v="2"/>
              <x v="3"/>
              <x v="4"/>
              <x v="11"/>
              <x v="12"/>
              <x v="13"/>
              <x v="14"/>
              <x v="15"/>
              <x v="16"/>
              <x v="17"/>
              <x v="18"/>
              <x v="19"/>
              <x v="22"/>
              <x v="23"/>
              <x v="25"/>
              <x v="32"/>
              <x v="3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7"/>
            </reference>
            <reference field="1" count="17">
              <x v="1"/>
              <x v="2"/>
              <x v="3"/>
              <x v="4"/>
              <x v="11"/>
              <x v="12"/>
              <x v="14"/>
              <x v="15"/>
              <x v="17"/>
              <x v="18"/>
              <x v="19"/>
              <x v="22"/>
              <x v="23"/>
              <x v="25"/>
              <x v="32"/>
              <x v="33"/>
              <x v="37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8"/>
            </reference>
            <reference field="1" count="17">
              <x v="1"/>
              <x v="2"/>
              <x v="3"/>
              <x v="4"/>
              <x v="11"/>
              <x v="12"/>
              <x v="14"/>
              <x v="15"/>
              <x v="17"/>
              <x v="18"/>
              <x v="19"/>
              <x v="22"/>
              <x v="23"/>
              <x v="25"/>
              <x v="32"/>
              <x v="33"/>
              <x v="37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1" count="17">
              <x v="1"/>
              <x v="2"/>
              <x v="3"/>
              <x v="4"/>
              <x v="11"/>
              <x v="12"/>
              <x v="14"/>
              <x v="15"/>
              <x v="17"/>
              <x v="18"/>
              <x v="19"/>
              <x v="22"/>
              <x v="23"/>
              <x v="25"/>
              <x v="32"/>
              <x v="33"/>
              <x v="3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44936-316B-467D-9CD1-8AB02B26D9A7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O29" firstHeaderRow="1" firstDataRow="2" firstDataCol="1" rowPageCount="1" colPageCount="1"/>
  <pivotFields count="39">
    <pivotField showAll="0"/>
    <pivotField axis="axisCol" showAll="0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</pivotField>
    <pivotField showAll="0"/>
    <pivotField showAll="0"/>
    <pivotField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numFmtId="169" showAll="0"/>
    <pivotField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16">
        <item x="13"/>
        <item x="1"/>
        <item x="12"/>
        <item x="14"/>
        <item x="7"/>
        <item x="8"/>
        <item x="0"/>
        <item x="4"/>
        <item x="6"/>
        <item x="9"/>
        <item x="2"/>
        <item x="3"/>
        <item x="11"/>
        <item x="10"/>
        <item x="5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 sortType="ascending">
      <items count="13">
        <item x="9"/>
        <item x="11"/>
        <item x="6"/>
        <item x="4"/>
        <item x="7"/>
        <item x="10"/>
        <item x="5"/>
        <item x="8"/>
        <item x="0"/>
        <item x="3"/>
        <item x="2"/>
        <item x="1"/>
        <item t="default"/>
      </items>
    </pivotField>
    <pivotField axis="axisRow" showAll="0" sortType="ascending">
      <items count="16">
        <item x="12"/>
        <item x="9"/>
        <item x="2"/>
        <item h="1" x="6"/>
        <item x="11"/>
        <item x="14"/>
        <item x="8"/>
        <item x="7"/>
        <item x="0"/>
        <item x="5"/>
        <item h="1" x="3"/>
        <item h="1" x="4"/>
        <item x="10"/>
        <item x="13"/>
        <item h="1"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9"/>
    <field x="20"/>
  </rowFields>
  <rowItems count="24">
    <i>
      <x/>
    </i>
    <i r="1">
      <x v="4"/>
    </i>
    <i>
      <x v="1"/>
    </i>
    <i r="1">
      <x v="5"/>
    </i>
    <i>
      <x v="2"/>
    </i>
    <i r="1">
      <x v="8"/>
    </i>
    <i>
      <x v="3"/>
    </i>
    <i r="1">
      <x v="9"/>
    </i>
    <i>
      <x v="4"/>
    </i>
    <i r="1">
      <x v="6"/>
    </i>
    <i>
      <x v="5"/>
    </i>
    <i r="1">
      <x v="13"/>
    </i>
    <i>
      <x v="6"/>
    </i>
    <i r="1">
      <x/>
    </i>
    <i r="1">
      <x v="2"/>
    </i>
    <i r="1">
      <x v="7"/>
    </i>
    <i r="1">
      <x v="12"/>
    </i>
    <i>
      <x v="7"/>
    </i>
    <i r="1">
      <x v="1"/>
    </i>
    <i>
      <x v="8"/>
    </i>
    <i r="1">
      <x v="8"/>
    </i>
    <i>
      <x v="10"/>
    </i>
    <i r="1">
      <x v="2"/>
    </i>
    <i t="grand">
      <x/>
    </i>
  </rowItems>
  <colFields count="1">
    <field x="1"/>
  </colFields>
  <colItems count="14">
    <i>
      <x v="40"/>
    </i>
    <i>
      <x v="43"/>
    </i>
    <i>
      <x v="44"/>
    </i>
    <i>
      <x v="45"/>
    </i>
    <i>
      <x v="48"/>
    </i>
    <i>
      <x v="54"/>
    </i>
    <i>
      <x v="55"/>
    </i>
    <i>
      <x v="64"/>
    </i>
    <i>
      <x v="65"/>
    </i>
    <i>
      <x v="83"/>
    </i>
    <i>
      <x v="85"/>
    </i>
    <i>
      <x v="97"/>
    </i>
    <i>
      <x v="104"/>
    </i>
    <i t="grand">
      <x/>
    </i>
  </colItems>
  <pageFields count="1">
    <pageField fld="5" item="3" hier="-1"/>
  </pageFields>
  <dataFields count="1">
    <dataField name="Promedio de Close PT %" fld="22" subtotal="average" baseField="1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498A3-8426-4EC1-9C53-F778792147EA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50" firstHeaderRow="0" firstDataRow="1" firstDataCol="1" rowPageCount="1" colPageCount="1"/>
  <pivotFields count="39">
    <pivotField showAll="0"/>
    <pivotField axis="axisRow" showAll="0" sortType="ascending">
      <items count="113">
        <item x="4"/>
        <item x="11"/>
        <item x="12"/>
        <item x="20"/>
        <item x="22"/>
        <item x="25"/>
        <item x="29"/>
        <item x="37"/>
        <item x="41"/>
        <item x="44"/>
        <item x="55"/>
        <item x="57"/>
        <item x="64"/>
        <item x="78"/>
        <item x="79"/>
        <item x="82"/>
        <item x="83"/>
        <item x="85"/>
        <item x="91"/>
        <item x="93"/>
        <item x="94"/>
        <item x="95"/>
        <item x="101"/>
        <item x="109"/>
        <item m="1" x="111"/>
        <item x="48"/>
        <item x="34"/>
        <item x="51"/>
        <item x="54"/>
        <item m="1" x="110"/>
        <item x="98"/>
        <item x="1"/>
        <item x="8"/>
        <item x="6"/>
        <item x="14"/>
        <item x="19"/>
        <item x="81"/>
        <item x="24"/>
        <item x="45"/>
        <item x="26"/>
        <item x="84"/>
        <item x="76"/>
        <item x="99"/>
        <item x="108"/>
        <item x="10"/>
        <item x="21"/>
        <item x="40"/>
        <item x="43"/>
        <item x="47"/>
        <item x="3"/>
        <item x="9"/>
        <item x="13"/>
        <item x="16"/>
        <item x="17"/>
        <item x="18"/>
        <item x="23"/>
        <item x="30"/>
        <item x="31"/>
        <item x="35"/>
        <item x="38"/>
        <item x="42"/>
        <item x="46"/>
        <item x="49"/>
        <item x="50"/>
        <item x="52"/>
        <item x="56"/>
        <item x="58"/>
        <item x="60"/>
        <item x="61"/>
        <item x="62"/>
        <item x="63"/>
        <item x="66"/>
        <item x="68"/>
        <item x="69"/>
        <item x="70"/>
        <item x="71"/>
        <item x="72"/>
        <item x="73"/>
        <item x="74"/>
        <item x="75"/>
        <item x="80"/>
        <item x="86"/>
        <item x="87"/>
        <item x="88"/>
        <item x="90"/>
        <item x="92"/>
        <item x="96"/>
        <item x="97"/>
        <item x="102"/>
        <item x="103"/>
        <item x="105"/>
        <item x="107"/>
        <item x="33"/>
        <item x="39"/>
        <item x="53"/>
        <item x="59"/>
        <item x="89"/>
        <item x="0"/>
        <item x="15"/>
        <item x="27"/>
        <item x="104"/>
        <item x="28"/>
        <item x="36"/>
        <item x="77"/>
        <item x="2"/>
        <item x="5"/>
        <item x="7"/>
        <item x="67"/>
        <item x="100"/>
        <item x="65"/>
        <item x="106"/>
        <item x="32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dataField="1" showAll="0"/>
    <pivotField dataField="1" showAll="0"/>
    <pivotField dataField="1" showAll="0"/>
    <pivotField axis="axisPage" showAll="0">
      <items count="6">
        <item x="2"/>
        <item x="1"/>
        <item m="1" x="4"/>
        <item x="0"/>
        <item m="1" x="3"/>
        <item t="default"/>
      </items>
    </pivotField>
    <pivotField dataField="1" numFmtId="169" showAll="0"/>
    <pivotField showAll="0">
      <items count="25">
        <item x="8"/>
        <item x="4"/>
        <item x="23"/>
        <item x="5"/>
        <item x="22"/>
        <item x="18"/>
        <item x="17"/>
        <item x="3"/>
        <item x="21"/>
        <item x="0"/>
        <item x="16"/>
        <item x="15"/>
        <item x="7"/>
        <item x="6"/>
        <item x="19"/>
        <item x="2"/>
        <item x="20"/>
        <item x="13"/>
        <item x="1"/>
        <item x="9"/>
        <item x="10"/>
        <item x="14"/>
        <item x="1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>
      <items count="16">
        <item x="13"/>
        <item x="1"/>
        <item x="12"/>
        <item x="14"/>
        <item x="7"/>
        <item x="8"/>
        <item x="0"/>
        <item x="4"/>
        <item x="6"/>
        <item x="9"/>
        <item x="2"/>
        <item x="3"/>
        <item x="11"/>
        <item x="1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7">
    <i>
      <x v="75"/>
    </i>
    <i>
      <x v="56"/>
    </i>
    <i>
      <x v="53"/>
    </i>
    <i>
      <x v="73"/>
    </i>
    <i>
      <x v="21"/>
    </i>
    <i>
      <x v="50"/>
    </i>
    <i>
      <x v="13"/>
    </i>
    <i>
      <x v="80"/>
    </i>
    <i>
      <x v="27"/>
    </i>
    <i>
      <x v="20"/>
    </i>
    <i>
      <x v="49"/>
    </i>
    <i>
      <x v="33"/>
    </i>
    <i>
      <x v="51"/>
    </i>
    <i>
      <x v="10"/>
    </i>
    <i>
      <x v="1"/>
    </i>
    <i>
      <x v="61"/>
    </i>
    <i>
      <x v="77"/>
    </i>
    <i>
      <x v="96"/>
    </i>
    <i>
      <x v="87"/>
    </i>
    <i>
      <x v="5"/>
    </i>
    <i>
      <x v="38"/>
    </i>
    <i>
      <x v="60"/>
    </i>
    <i>
      <x v="94"/>
    </i>
    <i>
      <x v="19"/>
    </i>
    <i>
      <x v="3"/>
    </i>
    <i>
      <x v="76"/>
    </i>
    <i>
      <x/>
    </i>
    <i>
      <x v="82"/>
    </i>
    <i>
      <x v="11"/>
    </i>
    <i>
      <x v="81"/>
    </i>
    <i>
      <x v="78"/>
    </i>
    <i>
      <x v="25"/>
    </i>
    <i>
      <x v="34"/>
    </i>
    <i>
      <x v="35"/>
    </i>
    <i>
      <x v="68"/>
    </i>
    <i>
      <x v="88"/>
    </i>
    <i>
      <x v="23"/>
    </i>
    <i>
      <x v="31"/>
    </i>
    <i>
      <x v="52"/>
    </i>
    <i>
      <x v="67"/>
    </i>
    <i>
      <x v="26"/>
    </i>
    <i>
      <x v="32"/>
    </i>
    <i>
      <x v="70"/>
    </i>
    <i>
      <x v="63"/>
    </i>
    <i>
      <x v="84"/>
    </i>
    <i>
      <x v="3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5" item="1" hier="-1"/>
  </pageFields>
  <dataFields count="8">
    <dataField name="Suma de Ammount" fld="3" baseField="1" baseItem="62" numFmtId="8"/>
    <dataField name="Promedio de Ratio" fld="25" subtotal="average" baseField="1" baseItem="62" numFmtId="165"/>
    <dataField name="Promedio de date plan" fld="4" subtotal="average" baseField="1" baseItem="0" numFmtId="166"/>
    <dataField name="Promedio de PE" fld="9" subtotal="average" baseField="0" baseItem="0" numFmtId="167"/>
    <dataField name="Promedio de Latest Q" fld="26" subtotal="average" baseField="0" baseItem="0" numFmtId="167"/>
    <dataField name="Promedio de LQ % to PE" fld="28" subtotal="average" baseField="1" baseItem="28" numFmtId="168"/>
    <dataField name="Promedio de Trend" fld="6" subtotal="average" baseField="1" baseItem="7" numFmtId="169"/>
    <dataField name="Suma de Success" fld="2" baseField="1" baseItem="75" numFmtId="10"/>
  </dataFields>
  <formats count="20">
    <format dxfId="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0"/>
          </reference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1"/>
          </reference>
          <reference field="1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7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2"/>
          </reference>
          <reference field="1" count="17">
            <x v="0"/>
            <x v="2"/>
            <x v="5"/>
            <x v="7"/>
            <x v="8"/>
            <x v="9"/>
            <x v="10"/>
            <x v="11"/>
            <x v="13"/>
            <x v="14"/>
            <x v="16"/>
            <x v="17"/>
            <x v="18"/>
            <x v="20"/>
            <x v="21"/>
            <x v="22"/>
            <x v="23"/>
          </reference>
        </references>
      </pivotArea>
    </format>
    <format dxfId="78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79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0"/>
          </reference>
          <reference field="1" count="14">
            <x v="0"/>
            <x v="5"/>
            <x v="7"/>
            <x v="8"/>
            <x v="9"/>
            <x v="10"/>
            <x v="20"/>
            <x v="21"/>
            <x v="26"/>
            <x v="27"/>
            <x v="28"/>
            <x v="29"/>
            <x v="30"/>
            <x v="31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1"/>
          </reference>
          <reference field="1" count="14">
            <x v="0"/>
            <x v="5"/>
            <x v="7"/>
            <x v="8"/>
            <x v="9"/>
            <x v="10"/>
            <x v="20"/>
            <x v="21"/>
            <x v="26"/>
            <x v="27"/>
            <x v="28"/>
            <x v="29"/>
            <x v="30"/>
            <x v="31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2"/>
          </reference>
          <reference field="1" count="14">
            <x v="0"/>
            <x v="5"/>
            <x v="7"/>
            <x v="8"/>
            <x v="9"/>
            <x v="10"/>
            <x v="20"/>
            <x v="21"/>
            <x v="26"/>
            <x v="27"/>
            <x v="28"/>
            <x v="29"/>
            <x v="30"/>
            <x v="31"/>
          </reference>
        </references>
      </pivotArea>
    </format>
    <format dxfId="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1"/>
          </reference>
          <reference field="1" count="14">
            <x v="0"/>
            <x v="5"/>
            <x v="7"/>
            <x v="8"/>
            <x v="9"/>
            <x v="10"/>
            <x v="20"/>
            <x v="21"/>
            <x v="26"/>
            <x v="27"/>
            <x v="28"/>
            <x v="30"/>
            <x v="34"/>
            <x v="35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1" count="14">
            <x v="0"/>
            <x v="5"/>
            <x v="7"/>
            <x v="8"/>
            <x v="9"/>
            <x v="10"/>
            <x v="20"/>
            <x v="21"/>
            <x v="26"/>
            <x v="27"/>
            <x v="28"/>
            <x v="30"/>
            <x v="34"/>
            <x v="35"/>
          </reference>
        </references>
      </pivotArea>
    </format>
    <format dxfId="86">
      <pivotArea outline="0" fieldPosition="0">
        <references count="1">
          <reference field="4294967294" count="1">
            <x v="5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0"/>
          </reference>
          <reference field="1" count="38">
            <x v="0"/>
            <x v="3"/>
            <x v="5"/>
            <x v="10"/>
            <x v="20"/>
            <x v="21"/>
            <x v="26"/>
            <x v="27"/>
            <x v="28"/>
            <x v="34"/>
            <x v="38"/>
            <x v="50"/>
            <x v="51"/>
            <x v="53"/>
            <x v="56"/>
            <x v="58"/>
            <x v="60"/>
            <x v="61"/>
            <x v="62"/>
            <x v="63"/>
            <x v="67"/>
            <x v="68"/>
            <x v="70"/>
            <x v="73"/>
            <x v="75"/>
            <x v="76"/>
            <x v="77"/>
            <x v="78"/>
            <x v="80"/>
            <x v="81"/>
            <x v="82"/>
            <x v="84"/>
            <x v="86"/>
            <x v="87"/>
            <x v="88"/>
            <x v="89"/>
            <x v="90"/>
            <x v="91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1"/>
          </reference>
          <reference field="1" count="37">
            <x v="0"/>
            <x v="3"/>
            <x v="5"/>
            <x v="10"/>
            <x v="20"/>
            <x v="21"/>
            <x v="26"/>
            <x v="27"/>
            <x v="28"/>
            <x v="34"/>
            <x v="38"/>
            <x v="50"/>
            <x v="51"/>
            <x v="53"/>
            <x v="56"/>
            <x v="58"/>
            <x v="60"/>
            <x v="61"/>
            <x v="62"/>
            <x v="63"/>
            <x v="67"/>
            <x v="68"/>
            <x v="70"/>
            <x v="73"/>
            <x v="75"/>
            <x v="76"/>
            <x v="77"/>
            <x v="78"/>
            <x v="80"/>
            <x v="81"/>
            <x v="82"/>
            <x v="86"/>
            <x v="87"/>
            <x v="88"/>
            <x v="89"/>
            <x v="90"/>
            <x v="91"/>
          </reference>
        </references>
      </pivotArea>
    </format>
    <format dxfId="89">
      <pivotArea outline="0" fieldPosition="0">
        <references count="1">
          <reference field="4294967294" count="1">
            <x v="0"/>
          </reference>
        </references>
      </pivotArea>
    </format>
    <format dxfId="90">
      <pivotArea outline="0" fieldPosition="0">
        <references count="1">
          <reference field="4294967294" count="1">
            <x v="1"/>
          </reference>
        </references>
      </pivotArea>
    </format>
    <format dxfId="91">
      <pivotArea outline="0" fieldPosition="0">
        <references count="1">
          <reference field="4294967294" count="1">
            <x v="7"/>
          </reference>
        </references>
      </pivotArea>
    </format>
  </formats>
  <conditionalFormats count="5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4">
      <pivotAreas count="2">
        <pivotArea type="data" collapsedLevelsAreSubtotals="1" fieldPosition="0">
          <references count="2">
            <reference field="4294967294" count="1" selected="0">
              <x v="6"/>
            </reference>
            <reference field="1" count="3">
              <x v="10"/>
              <x v="27"/>
              <x v="34"/>
            </reference>
          </references>
        </pivotArea>
        <pivotArea type="data" collapsedLevelsAreSubtotals="1" fieldPosition="0">
          <references count="2">
            <reference field="4294967294" count="1" selected="0">
              <x v="6"/>
            </reference>
            <reference field="1" count="2">
              <x v="26"/>
              <x v="2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16">
              <x v="0"/>
              <x v="5"/>
              <x v="7"/>
              <x v="8"/>
              <x v="9"/>
              <x v="10"/>
              <x v="20"/>
              <x v="21"/>
              <x v="26"/>
              <x v="27"/>
              <x v="28"/>
              <x v="30"/>
              <x v="31"/>
              <x v="34"/>
              <x v="35"/>
              <x v="3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7"/>
            </reference>
            <reference field="1" count="16">
              <x v="0"/>
              <x v="5"/>
              <x v="7"/>
              <x v="8"/>
              <x v="9"/>
              <x v="10"/>
              <x v="20"/>
              <x v="21"/>
              <x v="26"/>
              <x v="27"/>
              <x v="28"/>
              <x v="30"/>
              <x v="31"/>
              <x v="34"/>
              <x v="35"/>
              <x v="38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7"/>
            </reference>
            <reference field="1" count="16">
              <x v="0"/>
              <x v="5"/>
              <x v="7"/>
              <x v="8"/>
              <x v="9"/>
              <x v="10"/>
              <x v="20"/>
              <x v="21"/>
              <x v="26"/>
              <x v="27"/>
              <x v="28"/>
              <x v="30"/>
              <x v="31"/>
              <x v="34"/>
              <x v="35"/>
              <x v="3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ele.mc/" TargetMode="External"/><Relationship Id="rId18" Type="http://schemas.openxmlformats.org/officeDocument/2006/relationships/hyperlink" Target="http://iag.mc/" TargetMode="External"/><Relationship Id="rId26" Type="http://schemas.openxmlformats.org/officeDocument/2006/relationships/hyperlink" Target="http://mrl.mc/" TargetMode="External"/><Relationship Id="rId39" Type="http://schemas.openxmlformats.org/officeDocument/2006/relationships/hyperlink" Target="http://tka.de/" TargetMode="External"/><Relationship Id="rId21" Type="http://schemas.openxmlformats.org/officeDocument/2006/relationships/hyperlink" Target="http://lda.mc/" TargetMode="External"/><Relationship Id="rId34" Type="http://schemas.openxmlformats.org/officeDocument/2006/relationships/hyperlink" Target="http://scyr.mc/" TargetMode="External"/><Relationship Id="rId42" Type="http://schemas.openxmlformats.org/officeDocument/2006/relationships/hyperlink" Target="http://ulvrn.mx/" TargetMode="External"/><Relationship Id="rId7" Type="http://schemas.openxmlformats.org/officeDocument/2006/relationships/hyperlink" Target="http://bkt.mc/" TargetMode="External"/><Relationship Id="rId2" Type="http://schemas.openxmlformats.org/officeDocument/2006/relationships/hyperlink" Target="http://air.mc/" TargetMode="External"/><Relationship Id="rId16" Type="http://schemas.openxmlformats.org/officeDocument/2006/relationships/hyperlink" Target="http://gre.mc/" TargetMode="External"/><Relationship Id="rId20" Type="http://schemas.openxmlformats.org/officeDocument/2006/relationships/hyperlink" Target="http://idr.mc/" TargetMode="External"/><Relationship Id="rId29" Type="http://schemas.openxmlformats.org/officeDocument/2006/relationships/hyperlink" Target="http://rep.mc/" TargetMode="External"/><Relationship Id="rId41" Type="http://schemas.openxmlformats.org/officeDocument/2006/relationships/hyperlink" Target="http://tcx.sg/" TargetMode="External"/><Relationship Id="rId1" Type="http://schemas.openxmlformats.org/officeDocument/2006/relationships/hyperlink" Target="http://acx.mc/" TargetMode="External"/><Relationship Id="rId6" Type="http://schemas.openxmlformats.org/officeDocument/2006/relationships/hyperlink" Target="http://bbva.mc/" TargetMode="External"/><Relationship Id="rId11" Type="http://schemas.openxmlformats.org/officeDocument/2006/relationships/hyperlink" Target="http://dia.mc/" TargetMode="External"/><Relationship Id="rId24" Type="http://schemas.openxmlformats.org/officeDocument/2006/relationships/hyperlink" Target="http://map.mc/" TargetMode="External"/><Relationship Id="rId32" Type="http://schemas.openxmlformats.org/officeDocument/2006/relationships/hyperlink" Target="http://sab.mc/" TargetMode="External"/><Relationship Id="rId37" Type="http://schemas.openxmlformats.org/officeDocument/2006/relationships/hyperlink" Target="http://sqrl.mc/" TargetMode="External"/><Relationship Id="rId40" Type="http://schemas.openxmlformats.org/officeDocument/2006/relationships/hyperlink" Target="http://tre.mc/" TargetMode="External"/><Relationship Id="rId5" Type="http://schemas.openxmlformats.org/officeDocument/2006/relationships/hyperlink" Target="http://ai3a.sg/" TargetMode="External"/><Relationship Id="rId15" Type="http://schemas.openxmlformats.org/officeDocument/2006/relationships/hyperlink" Target="http://fer.mc/" TargetMode="External"/><Relationship Id="rId23" Type="http://schemas.openxmlformats.org/officeDocument/2006/relationships/hyperlink" Target="http://lindeindia.bo/" TargetMode="External"/><Relationship Id="rId28" Type="http://schemas.openxmlformats.org/officeDocument/2006/relationships/hyperlink" Target="http://ohla.mc/" TargetMode="External"/><Relationship Id="rId36" Type="http://schemas.openxmlformats.org/officeDocument/2006/relationships/hyperlink" Target="http://snd.de/" TargetMode="External"/><Relationship Id="rId10" Type="http://schemas.openxmlformats.org/officeDocument/2006/relationships/hyperlink" Target="http://cirsa.mc/" TargetMode="External"/><Relationship Id="rId19" Type="http://schemas.openxmlformats.org/officeDocument/2006/relationships/hyperlink" Target="http://ibe.mc/" TargetMode="External"/><Relationship Id="rId31" Type="http://schemas.openxmlformats.org/officeDocument/2006/relationships/hyperlink" Target="http://saab_b.st/" TargetMode="External"/><Relationship Id="rId44" Type="http://schemas.openxmlformats.org/officeDocument/2006/relationships/printerSettings" Target="../printerSettings/printerSettings2.bin"/><Relationship Id="rId4" Type="http://schemas.openxmlformats.org/officeDocument/2006/relationships/hyperlink" Target="http://amp.mc/" TargetMode="External"/><Relationship Id="rId9" Type="http://schemas.openxmlformats.org/officeDocument/2006/relationships/hyperlink" Target="http://cash.mc/" TargetMode="External"/><Relationship Id="rId14" Type="http://schemas.openxmlformats.org/officeDocument/2006/relationships/hyperlink" Target="http://eng.mc/" TargetMode="External"/><Relationship Id="rId22" Type="http://schemas.openxmlformats.org/officeDocument/2006/relationships/hyperlink" Target="http://ldo.vi/" TargetMode="External"/><Relationship Id="rId27" Type="http://schemas.openxmlformats.org/officeDocument/2006/relationships/hyperlink" Target="http://ntgy.mc/" TargetMode="External"/><Relationship Id="rId30" Type="http://schemas.openxmlformats.org/officeDocument/2006/relationships/hyperlink" Target="http://rovi.mc/" TargetMode="External"/><Relationship Id="rId35" Type="http://schemas.openxmlformats.org/officeDocument/2006/relationships/hyperlink" Target="http://slr.mc/" TargetMode="External"/><Relationship Id="rId43" Type="http://schemas.openxmlformats.org/officeDocument/2006/relationships/hyperlink" Target="http://vowa.sg/" TargetMode="External"/><Relationship Id="rId8" Type="http://schemas.openxmlformats.org/officeDocument/2006/relationships/hyperlink" Target="http://cabk.mc/" TargetMode="External"/><Relationship Id="rId3" Type="http://schemas.openxmlformats.org/officeDocument/2006/relationships/hyperlink" Target="http://air.mc/" TargetMode="External"/><Relationship Id="rId12" Type="http://schemas.openxmlformats.org/officeDocument/2006/relationships/hyperlink" Target="http://ebro.mc/" TargetMode="External"/><Relationship Id="rId17" Type="http://schemas.openxmlformats.org/officeDocument/2006/relationships/hyperlink" Target="http://1mm.sg/" TargetMode="External"/><Relationship Id="rId25" Type="http://schemas.openxmlformats.org/officeDocument/2006/relationships/hyperlink" Target="http://mel.mc/" TargetMode="External"/><Relationship Id="rId33" Type="http://schemas.openxmlformats.org/officeDocument/2006/relationships/hyperlink" Target="http://san.mc/" TargetMode="External"/><Relationship Id="rId38" Type="http://schemas.openxmlformats.org/officeDocument/2006/relationships/hyperlink" Target="http://tef.mc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edro.pdayala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C004-699B-4169-AE7B-B349080412CD}">
  <sheetPr>
    <tabColor theme="5" tint="-0.249977111117893"/>
  </sheetPr>
  <dimension ref="A1:AH137"/>
  <sheetViews>
    <sheetView tabSelected="1" zoomScale="90" zoomScaleNormal="90" workbookViewId="0">
      <pane xSplit="2" ySplit="2" topLeftCell="C78" activePane="bottomRight" state="frozen"/>
      <selection activeCell="B117" sqref="B117:C117"/>
      <selection pane="topRight" activeCell="B117" sqref="B117:C117"/>
      <selection pane="bottomLeft" activeCell="B117" sqref="B117:C117"/>
      <selection pane="bottomRight" activeCell="B117" sqref="B117:C117"/>
    </sheetView>
  </sheetViews>
  <sheetFormatPr baseColWidth="10" defaultColWidth="12.28515625" defaultRowHeight="15" x14ac:dyDescent="0.25"/>
  <cols>
    <col min="1" max="1" width="9.140625" style="63" bestFit="1" customWidth="1"/>
    <col min="2" max="2" width="19.5703125" bestFit="1" customWidth="1"/>
    <col min="3" max="3" width="17.42578125" style="63" bestFit="1" customWidth="1"/>
    <col min="4" max="4" width="13" bestFit="1" customWidth="1"/>
    <col min="5" max="5" width="11.140625" bestFit="1" customWidth="1"/>
    <col min="6" max="6" width="19.85546875" bestFit="1" customWidth="1"/>
    <col min="7" max="7" width="19.7109375" customWidth="1"/>
    <col min="8" max="8" width="14.140625" bestFit="1" customWidth="1"/>
    <col min="9" max="9" width="9.7109375" bestFit="1" customWidth="1"/>
    <col min="10" max="12" width="14.28515625" bestFit="1" customWidth="1"/>
    <col min="13" max="13" width="10.85546875" bestFit="1" customWidth="1"/>
    <col min="14" max="14" width="12.85546875" bestFit="1" customWidth="1"/>
    <col min="15" max="15" width="10" bestFit="1" customWidth="1"/>
    <col min="16" max="16" width="12" bestFit="1" customWidth="1"/>
    <col min="17" max="17" width="10.140625" bestFit="1" customWidth="1"/>
    <col min="18" max="18" width="11.85546875" customWidth="1"/>
    <col min="19" max="19" width="10" bestFit="1" customWidth="1"/>
    <col min="20" max="20" width="12.85546875" bestFit="1" customWidth="1"/>
    <col min="21" max="21" width="10.140625" bestFit="1" customWidth="1"/>
    <col min="22" max="22" width="14.140625" customWidth="1"/>
    <col min="23" max="23" width="12.42578125" bestFit="1" customWidth="1"/>
    <col min="24" max="24" width="11.85546875" bestFit="1" customWidth="1"/>
    <col min="25" max="25" width="13" bestFit="1" customWidth="1"/>
    <col min="26" max="26" width="7.85546875" bestFit="1" customWidth="1"/>
    <col min="27" max="27" width="16" style="36" bestFit="1" customWidth="1"/>
    <col min="28" max="28" width="8.5703125" bestFit="1" customWidth="1"/>
    <col min="29" max="29" width="12" bestFit="1" customWidth="1"/>
    <col min="30" max="30" width="10" bestFit="1" customWidth="1"/>
    <col min="31" max="31" width="10.140625" bestFit="1" customWidth="1"/>
    <col min="32" max="32" width="8.7109375" bestFit="1" customWidth="1"/>
    <col min="33" max="33" width="13.42578125" bestFit="1" customWidth="1"/>
    <col min="34" max="34" width="9.85546875" bestFit="1" customWidth="1"/>
    <col min="35" max="35" width="6.85546875" bestFit="1" customWidth="1"/>
    <col min="38" max="38" width="14.85546875" bestFit="1" customWidth="1"/>
  </cols>
  <sheetData>
    <row r="1" spans="1:34" ht="15.75" thickBot="1" x14ac:dyDescent="0.3">
      <c r="A1" s="24" t="s">
        <v>141</v>
      </c>
      <c r="B1" s="25"/>
      <c r="C1" s="25"/>
      <c r="D1" s="25"/>
      <c r="E1" s="25"/>
      <c r="F1" s="26"/>
      <c r="H1" s="27" t="s">
        <v>141</v>
      </c>
      <c r="J1" s="28" t="s">
        <v>141</v>
      </c>
      <c r="K1" s="29"/>
      <c r="L1" s="29"/>
      <c r="M1" s="29"/>
      <c r="N1" s="30" t="s">
        <v>142</v>
      </c>
      <c r="O1" s="31" t="s">
        <v>143</v>
      </c>
      <c r="P1" s="32"/>
      <c r="Q1" s="32"/>
      <c r="R1" s="33" t="s">
        <v>144</v>
      </c>
      <c r="S1" s="34"/>
      <c r="T1" s="30" t="s">
        <v>142</v>
      </c>
      <c r="U1" s="31" t="s">
        <v>143</v>
      </c>
      <c r="V1" s="32"/>
      <c r="W1" s="32"/>
      <c r="X1" s="33" t="s">
        <v>144</v>
      </c>
      <c r="Y1" s="35"/>
      <c r="Z1" s="34"/>
      <c r="AB1" s="37" t="s">
        <v>145</v>
      </c>
      <c r="AC1" s="38" t="s">
        <v>146</v>
      </c>
      <c r="AD1" s="33" t="s">
        <v>144</v>
      </c>
      <c r="AE1" s="35"/>
      <c r="AF1" s="35"/>
      <c r="AG1" s="39" t="s">
        <v>145</v>
      </c>
      <c r="AH1" s="40"/>
    </row>
    <row r="2" spans="1:34" ht="16.5" thickTop="1" thickBot="1" x14ac:dyDescent="0.3">
      <c r="A2" s="41" t="s">
        <v>147</v>
      </c>
      <c r="B2" s="42" t="s">
        <v>148</v>
      </c>
      <c r="C2" s="43" t="s">
        <v>149</v>
      </c>
      <c r="D2" s="44" t="s">
        <v>150</v>
      </c>
      <c r="E2" s="44" t="s">
        <v>151</v>
      </c>
      <c r="F2" s="44" t="s">
        <v>0</v>
      </c>
      <c r="G2" s="45" t="s">
        <v>152</v>
      </c>
      <c r="H2" s="44" t="s">
        <v>153</v>
      </c>
      <c r="I2" s="45" t="s">
        <v>154</v>
      </c>
      <c r="J2" s="44" t="s">
        <v>155</v>
      </c>
      <c r="K2" s="46" t="s">
        <v>156</v>
      </c>
      <c r="L2" s="47" t="s">
        <v>157</v>
      </c>
      <c r="M2" s="44" t="s">
        <v>158</v>
      </c>
      <c r="N2" s="48" t="s">
        <v>159</v>
      </c>
      <c r="O2" s="49" t="s">
        <v>160</v>
      </c>
      <c r="P2" s="49" t="s">
        <v>161</v>
      </c>
      <c r="Q2" s="49" t="s">
        <v>162</v>
      </c>
      <c r="R2" s="50" t="s">
        <v>163</v>
      </c>
      <c r="S2" s="51" t="s">
        <v>164</v>
      </c>
      <c r="T2" s="52" t="s">
        <v>165</v>
      </c>
      <c r="U2" s="53" t="s">
        <v>166</v>
      </c>
      <c r="V2" s="53" t="s">
        <v>167</v>
      </c>
      <c r="W2" s="53" t="s">
        <v>168</v>
      </c>
      <c r="X2" s="54" t="s">
        <v>169</v>
      </c>
      <c r="Y2" s="55" t="s">
        <v>170</v>
      </c>
      <c r="Z2" s="56" t="s">
        <v>171</v>
      </c>
      <c r="AA2" s="57" t="s">
        <v>172</v>
      </c>
      <c r="AB2" s="58" t="s">
        <v>173</v>
      </c>
      <c r="AC2" s="58" t="s">
        <v>174</v>
      </c>
      <c r="AD2" s="59" t="s">
        <v>175</v>
      </c>
      <c r="AE2" s="60" t="s">
        <v>176</v>
      </c>
      <c r="AF2" s="60" t="s">
        <v>177</v>
      </c>
      <c r="AG2" s="61" t="s">
        <v>178</v>
      </c>
      <c r="AH2" s="62" t="s">
        <v>179</v>
      </c>
    </row>
    <row r="3" spans="1:34" x14ac:dyDescent="0.25">
      <c r="A3" s="63">
        <v>24</v>
      </c>
      <c r="B3" s="64" t="s">
        <v>109</v>
      </c>
      <c r="C3" s="65" t="e">
        <f t="shared" ref="C3:C17" si="0">VLOOKUP(B3,Probabilidad,$C$115,FALSE)</f>
        <v>#N/A</v>
      </c>
      <c r="D3" s="66">
        <f>+J3*M3</f>
        <v>1585.5</v>
      </c>
      <c r="E3" s="67">
        <v>46009</v>
      </c>
      <c r="F3" s="68" t="s">
        <v>95</v>
      </c>
      <c r="G3" s="69" t="e">
        <f t="shared" ref="G3" si="1">VLOOKUP(B3,DataTrend,2,FALSE)</f>
        <v>#N/A</v>
      </c>
      <c r="H3" s="67">
        <v>46001</v>
      </c>
      <c r="I3" s="70">
        <f>IF(H3=0,"",+H3-E3)</f>
        <v>-8</v>
      </c>
      <c r="J3" s="71">
        <v>1585.5</v>
      </c>
      <c r="K3" s="72">
        <v>1440</v>
      </c>
      <c r="L3" s="73">
        <v>1900</v>
      </c>
      <c r="M3" s="74">
        <v>1</v>
      </c>
      <c r="N3" s="67"/>
      <c r="O3" s="70" t="str">
        <f t="shared" ref="O3:O66" si="2">IF(N3=0,"",-H3+N3)</f>
        <v/>
      </c>
      <c r="P3" s="3" t="str">
        <f t="shared" ref="P3:P66" si="3">IF(N3&gt;0,(-J3+AA3)*M3,"")</f>
        <v/>
      </c>
      <c r="Q3" s="75" t="str">
        <f t="shared" ref="Q3:Q66" si="4">IF(P3="","",+P3/(J3*M3))</f>
        <v/>
      </c>
      <c r="R3" s="3">
        <f t="shared" ref="R3:R66" si="5">(+K3-J3)*M3</f>
        <v>-145.5</v>
      </c>
      <c r="S3" s="75">
        <f t="shared" ref="S3:S66" si="6">+R3/(J3*M3)</f>
        <v>-9.1769157994323558E-2</v>
      </c>
      <c r="T3" s="67">
        <v>46034</v>
      </c>
      <c r="U3" s="70">
        <f t="shared" ref="U3:U66" si="7">IF(T3=0,"",-H3+T3)</f>
        <v>33</v>
      </c>
      <c r="V3" s="3">
        <f t="shared" ref="V3:V66" si="8">IF(T3&gt;0,(-J3+AA3)*M3,"")</f>
        <v>326</v>
      </c>
      <c r="W3" s="75">
        <f t="shared" ref="W3:W66" si="9">IF(V3="","",+V3/(J3*M3))</f>
        <v>0.20561337117628509</v>
      </c>
      <c r="X3" s="76">
        <f t="shared" ref="X3:X66" si="10">(+L3-J3)*M3</f>
        <v>314.5</v>
      </c>
      <c r="Y3" s="75">
        <f t="shared" ref="Y3:Y66" si="11">+X3/(J3*M3)</f>
        <v>0.19836013875748976</v>
      </c>
      <c r="Z3" s="77">
        <f t="shared" ref="Z3:Z66" si="12">-X3/R3</f>
        <v>2.1615120274914088</v>
      </c>
      <c r="AA3" s="78">
        <v>1911.5</v>
      </c>
      <c r="AB3" s="70" t="str">
        <f t="shared" ref="AB3:AB66" ca="1" si="13">IF(AND(N3=0,T3=0),IF(H3&gt;0,+TODAY()-H3,""),"")</f>
        <v/>
      </c>
      <c r="AC3" s="75" t="str">
        <f t="shared" ref="AC3:AC66" si="14">IF(H3=0,+AA3/J3-1,"")</f>
        <v/>
      </c>
      <c r="AD3" s="22" t="str">
        <f t="shared" ref="AD3:AD66" si="15">IF(F3="Close","",+AA3/K3-1)</f>
        <v/>
      </c>
      <c r="AE3" s="22" t="str">
        <f t="shared" ref="AE3:AE66" si="16">IF(F3="Close","",+AA3/L3-1)</f>
        <v/>
      </c>
      <c r="AF3" s="4" t="str">
        <f t="shared" ref="AF3:AF66" si="17">IF(F3="Close","",-AE3/AD3)</f>
        <v/>
      </c>
      <c r="AG3" s="3" t="str">
        <f t="shared" ref="AG3:AG66" si="18">IF(AH3="","",AH3*D3)</f>
        <v/>
      </c>
      <c r="AH3" s="79" t="str">
        <f t="shared" ref="AH3:AH66" si="19">IF(F3="Close","",IF(H3=0,"",+AA3/J3-1))</f>
        <v/>
      </c>
    </row>
    <row r="4" spans="1:34" x14ac:dyDescent="0.25">
      <c r="B4" s="80" t="s">
        <v>50</v>
      </c>
      <c r="C4" s="65" t="e">
        <f t="shared" si="0"/>
        <v>#N/A</v>
      </c>
      <c r="D4" s="66">
        <f t="shared" ref="D4:D68" si="20">+J4*M4</f>
        <v>1611.5</v>
      </c>
      <c r="E4" s="67">
        <v>46034</v>
      </c>
      <c r="F4" s="68" t="s">
        <v>1</v>
      </c>
      <c r="G4" s="69">
        <f t="shared" ref="G4:G114" si="21">VLOOKUP(B4,DataTrend,2,FALSE)</f>
        <v>1.279144422705536E-3</v>
      </c>
      <c r="H4" s="81"/>
      <c r="I4" s="70" t="str">
        <f>IF(H4=0,"",+H4-E4)</f>
        <v/>
      </c>
      <c r="J4" s="71">
        <v>1611.5</v>
      </c>
      <c r="K4" s="72">
        <v>1440</v>
      </c>
      <c r="L4" s="73">
        <v>1900</v>
      </c>
      <c r="M4" s="74">
        <v>1</v>
      </c>
      <c r="N4" s="67"/>
      <c r="O4" s="70" t="str">
        <f t="shared" si="2"/>
        <v/>
      </c>
      <c r="P4" s="3" t="str">
        <f t="shared" si="3"/>
        <v/>
      </c>
      <c r="Q4" s="75" t="str">
        <f t="shared" si="4"/>
        <v/>
      </c>
      <c r="R4" s="3">
        <f t="shared" si="5"/>
        <v>-171.5</v>
      </c>
      <c r="S4" s="75">
        <f t="shared" si="6"/>
        <v>-0.10642258765125659</v>
      </c>
      <c r="T4" s="67"/>
      <c r="U4" s="70" t="str">
        <f t="shared" si="7"/>
        <v/>
      </c>
      <c r="V4" s="3" t="str">
        <f t="shared" si="8"/>
        <v/>
      </c>
      <c r="W4" s="75" t="str">
        <f t="shared" si="9"/>
        <v/>
      </c>
      <c r="X4" s="76">
        <f t="shared" si="10"/>
        <v>288.5</v>
      </c>
      <c r="Y4" s="75">
        <f t="shared" si="11"/>
        <v>0.17902575240459198</v>
      </c>
      <c r="Z4" s="77">
        <f t="shared" si="12"/>
        <v>1.6822157434402332</v>
      </c>
      <c r="AA4" s="78">
        <f>VLOOKUP(B4,EntradaDatos,$AA$115,FALSE)</f>
        <v>1906.5</v>
      </c>
      <c r="AB4" s="70" t="str">
        <f t="shared" ca="1" si="13"/>
        <v/>
      </c>
      <c r="AC4" s="75">
        <f t="shared" si="14"/>
        <v>0.18305926155755503</v>
      </c>
      <c r="AD4" s="22">
        <f t="shared" si="15"/>
        <v>0.32395833333333335</v>
      </c>
      <c r="AE4" s="22">
        <f t="shared" si="16"/>
        <v>3.4210526315789913E-3</v>
      </c>
      <c r="AF4" s="4">
        <f t="shared" si="17"/>
        <v>-1.0560162464038044E-2</v>
      </c>
      <c r="AG4" s="3" t="str">
        <f t="shared" si="18"/>
        <v/>
      </c>
      <c r="AH4" s="79" t="str">
        <f t="shared" si="19"/>
        <v/>
      </c>
    </row>
    <row r="5" spans="1:34" x14ac:dyDescent="0.25">
      <c r="A5" s="63">
        <v>31</v>
      </c>
      <c r="B5" s="64" t="s">
        <v>110</v>
      </c>
      <c r="C5" s="65" t="e">
        <f t="shared" si="0"/>
        <v>#N/A</v>
      </c>
      <c r="D5" s="66">
        <f t="shared" si="20"/>
        <v>976.32</v>
      </c>
      <c r="E5" s="67">
        <v>46026</v>
      </c>
      <c r="F5" s="68" t="s">
        <v>95</v>
      </c>
      <c r="G5" s="69" t="e">
        <f t="shared" ref="G5" si="22">VLOOKUP(B5,DataTrend,2,FALSE)</f>
        <v>#N/A</v>
      </c>
      <c r="H5" s="67">
        <v>46027</v>
      </c>
      <c r="I5" s="70">
        <f t="shared" ref="I5:I68" si="23">IF(H5=0,"",+H5-E5)</f>
        <v>1</v>
      </c>
      <c r="J5" s="71">
        <v>54.24</v>
      </c>
      <c r="K5" s="72">
        <v>52.26</v>
      </c>
      <c r="L5" s="73">
        <v>57.8</v>
      </c>
      <c r="M5" s="74">
        <v>18</v>
      </c>
      <c r="N5" s="67"/>
      <c r="O5" s="70" t="str">
        <f t="shared" si="2"/>
        <v/>
      </c>
      <c r="P5" s="3" t="str">
        <f t="shared" si="3"/>
        <v/>
      </c>
      <c r="Q5" s="75" t="str">
        <f t="shared" si="4"/>
        <v/>
      </c>
      <c r="R5" s="3">
        <f t="shared" si="5"/>
        <v>-35.640000000000072</v>
      </c>
      <c r="S5" s="75">
        <f t="shared" si="6"/>
        <v>-3.6504424778761133E-2</v>
      </c>
      <c r="T5" s="67">
        <v>46036</v>
      </c>
      <c r="U5" s="70">
        <f t="shared" si="7"/>
        <v>9</v>
      </c>
      <c r="V5" s="3">
        <f t="shared" si="8"/>
        <v>64.439999999999969</v>
      </c>
      <c r="W5" s="75">
        <f t="shared" si="9"/>
        <v>6.6002949852507334E-2</v>
      </c>
      <c r="X5" s="76">
        <f t="shared" si="10"/>
        <v>64.079999999999913</v>
      </c>
      <c r="Y5" s="75">
        <f t="shared" si="11"/>
        <v>6.5634218289085458E-2</v>
      </c>
      <c r="Z5" s="77">
        <f t="shared" si="12"/>
        <v>1.797979797979792</v>
      </c>
      <c r="AA5" s="78">
        <v>57.82</v>
      </c>
      <c r="AB5" s="70" t="str">
        <f t="shared" ca="1" si="13"/>
        <v/>
      </c>
      <c r="AC5" s="75" t="str">
        <f t="shared" si="14"/>
        <v/>
      </c>
      <c r="AD5" s="22" t="str">
        <f t="shared" si="15"/>
        <v/>
      </c>
      <c r="AE5" s="22" t="str">
        <f t="shared" si="16"/>
        <v/>
      </c>
      <c r="AF5" s="4" t="str">
        <f t="shared" si="17"/>
        <v/>
      </c>
      <c r="AG5" s="3" t="str">
        <f t="shared" si="18"/>
        <v/>
      </c>
      <c r="AH5" s="79" t="str">
        <f t="shared" si="19"/>
        <v/>
      </c>
    </row>
    <row r="6" spans="1:34" x14ac:dyDescent="0.25">
      <c r="B6" s="80" t="s">
        <v>23</v>
      </c>
      <c r="C6" s="65" t="e">
        <f t="shared" si="0"/>
        <v>#N/A</v>
      </c>
      <c r="D6" s="66">
        <f t="shared" si="20"/>
        <v>1018.4399999999999</v>
      </c>
      <c r="E6" s="67">
        <v>46036</v>
      </c>
      <c r="F6" s="68" t="s">
        <v>1</v>
      </c>
      <c r="G6" s="69">
        <f t="shared" si="21"/>
        <v>7.7997584654510678E-3</v>
      </c>
      <c r="H6" s="67"/>
      <c r="I6" s="70" t="str">
        <f t="shared" si="23"/>
        <v/>
      </c>
      <c r="J6" s="71">
        <v>56.58</v>
      </c>
      <c r="K6" s="72">
        <v>55.24</v>
      </c>
      <c r="L6" s="73">
        <v>62.22</v>
      </c>
      <c r="M6" s="74">
        <v>18</v>
      </c>
      <c r="N6" s="67"/>
      <c r="O6" s="70" t="str">
        <f t="shared" si="2"/>
        <v/>
      </c>
      <c r="P6" s="3" t="str">
        <f t="shared" si="3"/>
        <v/>
      </c>
      <c r="Q6" s="75" t="str">
        <f t="shared" si="4"/>
        <v/>
      </c>
      <c r="R6" s="3">
        <f t="shared" si="5"/>
        <v>-24.119999999999933</v>
      </c>
      <c r="S6" s="75">
        <f t="shared" si="6"/>
        <v>-2.3683280311063915E-2</v>
      </c>
      <c r="T6" s="67"/>
      <c r="U6" s="70" t="str">
        <f t="shared" si="7"/>
        <v/>
      </c>
      <c r="V6" s="3" t="str">
        <f t="shared" si="8"/>
        <v/>
      </c>
      <c r="W6" s="75" t="str">
        <f t="shared" si="9"/>
        <v/>
      </c>
      <c r="X6" s="76">
        <f t="shared" si="10"/>
        <v>101.52000000000001</v>
      </c>
      <c r="Y6" s="75">
        <f t="shared" si="11"/>
        <v>9.968186638388124E-2</v>
      </c>
      <c r="Z6" s="77">
        <f t="shared" si="12"/>
        <v>4.2089552238806087</v>
      </c>
      <c r="AA6" s="78">
        <f>VLOOKUP(B6,EntradaDatos,$AA$115,FALSE)</f>
        <v>59.14</v>
      </c>
      <c r="AB6" s="70" t="str">
        <f t="shared" ca="1" si="13"/>
        <v/>
      </c>
      <c r="AC6" s="75">
        <f t="shared" si="14"/>
        <v>4.5245669848002823E-2</v>
      </c>
      <c r="AD6" s="22">
        <f t="shared" si="15"/>
        <v>7.0601013758146314E-2</v>
      </c>
      <c r="AE6" s="22">
        <f t="shared" si="16"/>
        <v>-4.9501767920282824E-2</v>
      </c>
      <c r="AF6" s="4">
        <f t="shared" si="17"/>
        <v>0.7011481179272876</v>
      </c>
      <c r="AG6" s="3" t="str">
        <f t="shared" si="18"/>
        <v/>
      </c>
      <c r="AH6" s="79" t="str">
        <f t="shared" si="19"/>
        <v/>
      </c>
    </row>
    <row r="7" spans="1:34" x14ac:dyDescent="0.25">
      <c r="B7" s="80" t="s">
        <v>39</v>
      </c>
      <c r="C7" s="65">
        <f t="shared" si="0"/>
        <v>0.54</v>
      </c>
      <c r="D7" s="66">
        <f t="shared" si="20"/>
        <v>995.17000000000007</v>
      </c>
      <c r="E7" s="67">
        <v>46029</v>
      </c>
      <c r="F7" s="68" t="s">
        <v>1</v>
      </c>
      <c r="G7" s="69">
        <f t="shared" si="21"/>
        <v>8.6340443823227362E-4</v>
      </c>
      <c r="H7" s="82"/>
      <c r="I7" s="70" t="str">
        <f t="shared" si="23"/>
        <v/>
      </c>
      <c r="J7" s="71">
        <v>11.99</v>
      </c>
      <c r="K7" s="72">
        <v>11.7</v>
      </c>
      <c r="L7" s="73">
        <v>12.91</v>
      </c>
      <c r="M7" s="74">
        <v>83</v>
      </c>
      <c r="N7" s="67"/>
      <c r="O7" s="70" t="str">
        <f t="shared" si="2"/>
        <v/>
      </c>
      <c r="P7" s="3" t="str">
        <f t="shared" si="3"/>
        <v/>
      </c>
      <c r="Q7" s="75" t="str">
        <f t="shared" si="4"/>
        <v/>
      </c>
      <c r="R7" s="3">
        <f t="shared" si="5"/>
        <v>-24.070000000000078</v>
      </c>
      <c r="S7" s="75">
        <f t="shared" si="6"/>
        <v>-2.4186822351960045E-2</v>
      </c>
      <c r="T7" s="67"/>
      <c r="U7" s="70" t="str">
        <f t="shared" si="7"/>
        <v/>
      </c>
      <c r="V7" s="3" t="str">
        <f t="shared" si="8"/>
        <v/>
      </c>
      <c r="W7" s="75" t="str">
        <f t="shared" si="9"/>
        <v/>
      </c>
      <c r="X7" s="76">
        <f t="shared" si="10"/>
        <v>76.36</v>
      </c>
      <c r="Y7" s="75">
        <f t="shared" si="11"/>
        <v>7.6730608840700584E-2</v>
      </c>
      <c r="Z7" s="77">
        <f t="shared" si="12"/>
        <v>3.1724137931034377</v>
      </c>
      <c r="AA7" s="78">
        <f>VLOOKUP(B7,EntradaDatos,$AA$115,FALSE)</f>
        <v>13.25</v>
      </c>
      <c r="AB7" s="70" t="str">
        <f t="shared" ca="1" si="13"/>
        <v/>
      </c>
      <c r="AC7" s="75">
        <f t="shared" si="14"/>
        <v>0.10508757297748117</v>
      </c>
      <c r="AD7" s="22">
        <f t="shared" si="15"/>
        <v>0.13247863247863245</v>
      </c>
      <c r="AE7" s="22">
        <f t="shared" si="16"/>
        <v>2.6336173508907823E-2</v>
      </c>
      <c r="AF7" s="4">
        <f t="shared" si="17"/>
        <v>-0.1987956322930462</v>
      </c>
      <c r="AG7" s="3" t="str">
        <f t="shared" si="18"/>
        <v/>
      </c>
      <c r="AH7" s="79" t="str">
        <f t="shared" si="19"/>
        <v/>
      </c>
    </row>
    <row r="8" spans="1:34" x14ac:dyDescent="0.25">
      <c r="A8" s="63">
        <v>30</v>
      </c>
      <c r="B8" s="64" t="s">
        <v>127</v>
      </c>
      <c r="C8" s="65" t="e">
        <f t="shared" si="0"/>
        <v>#N/A</v>
      </c>
      <c r="D8" s="66">
        <f t="shared" si="20"/>
        <v>984.59999999999991</v>
      </c>
      <c r="E8" s="67">
        <v>45996</v>
      </c>
      <c r="F8" s="68" t="s">
        <v>95</v>
      </c>
      <c r="G8" s="69" t="e">
        <f t="shared" ref="G8" si="24">VLOOKUP(B8,DataTrend,2,FALSE)</f>
        <v>#N/A</v>
      </c>
      <c r="H8" s="67">
        <v>45996</v>
      </c>
      <c r="I8" s="70">
        <f t="shared" si="23"/>
        <v>0</v>
      </c>
      <c r="J8" s="71">
        <v>196.92</v>
      </c>
      <c r="K8" s="72">
        <v>188</v>
      </c>
      <c r="L8" s="73">
        <v>220</v>
      </c>
      <c r="M8" s="74">
        <v>5</v>
      </c>
      <c r="N8" s="67"/>
      <c r="O8" s="70" t="str">
        <f t="shared" si="2"/>
        <v/>
      </c>
      <c r="P8" s="3" t="str">
        <f t="shared" si="3"/>
        <v/>
      </c>
      <c r="Q8" s="75" t="str">
        <f t="shared" si="4"/>
        <v/>
      </c>
      <c r="R8" s="3">
        <f t="shared" si="5"/>
        <v>-44.599999999999937</v>
      </c>
      <c r="S8" s="75">
        <f t="shared" si="6"/>
        <v>-4.5297582774730796E-2</v>
      </c>
      <c r="T8" s="67">
        <v>46035</v>
      </c>
      <c r="U8" s="70">
        <f t="shared" si="7"/>
        <v>39</v>
      </c>
      <c r="V8" s="3">
        <f t="shared" si="8"/>
        <v>115.40000000000006</v>
      </c>
      <c r="W8" s="75">
        <f t="shared" si="9"/>
        <v>0.1172049563274427</v>
      </c>
      <c r="X8" s="76">
        <f t="shared" si="10"/>
        <v>115.40000000000006</v>
      </c>
      <c r="Y8" s="75">
        <f t="shared" si="11"/>
        <v>0.1172049563274427</v>
      </c>
      <c r="Z8" s="77">
        <f t="shared" si="12"/>
        <v>2.5874439461883458</v>
      </c>
      <c r="AA8" s="78">
        <v>220</v>
      </c>
      <c r="AB8" s="70" t="str">
        <f ca="1">IF(AND(N8=0,T8=0),IF(H8&gt;0,+TODAY()-H8,""),"")</f>
        <v/>
      </c>
      <c r="AC8" s="75" t="str">
        <f t="shared" si="14"/>
        <v/>
      </c>
      <c r="AD8" s="22" t="str">
        <f t="shared" si="15"/>
        <v/>
      </c>
      <c r="AE8" s="22" t="str">
        <f t="shared" si="16"/>
        <v/>
      </c>
      <c r="AF8" s="4" t="str">
        <f t="shared" si="17"/>
        <v/>
      </c>
      <c r="AG8" s="3" t="str">
        <f t="shared" si="18"/>
        <v/>
      </c>
      <c r="AH8" s="79" t="str">
        <f t="shared" si="19"/>
        <v/>
      </c>
    </row>
    <row r="9" spans="1:34" x14ac:dyDescent="0.25">
      <c r="B9" s="64" t="s">
        <v>24</v>
      </c>
      <c r="C9" s="65" t="e">
        <f t="shared" si="0"/>
        <v>#N/A</v>
      </c>
      <c r="D9" s="66">
        <f t="shared" si="20"/>
        <v>1031.75</v>
      </c>
      <c r="E9" s="67">
        <v>46036</v>
      </c>
      <c r="F9" s="68" t="s">
        <v>1</v>
      </c>
      <c r="G9" s="69">
        <f t="shared" si="21"/>
        <v>4.4039048080251052E-4</v>
      </c>
      <c r="H9" s="67"/>
      <c r="I9" s="70" t="str">
        <f t="shared" si="23"/>
        <v/>
      </c>
      <c r="J9" s="71">
        <v>206.35</v>
      </c>
      <c r="K9" s="72">
        <v>201.5</v>
      </c>
      <c r="L9" s="73">
        <v>224.7</v>
      </c>
      <c r="M9" s="74">
        <v>5</v>
      </c>
      <c r="N9" s="67"/>
      <c r="O9" s="70" t="str">
        <f t="shared" si="2"/>
        <v/>
      </c>
      <c r="P9" s="3" t="str">
        <f t="shared" si="3"/>
        <v/>
      </c>
      <c r="Q9" s="75" t="str">
        <f t="shared" si="4"/>
        <v/>
      </c>
      <c r="R9" s="3">
        <f t="shared" si="5"/>
        <v>-24.249999999999972</v>
      </c>
      <c r="S9" s="75">
        <f t="shared" si="6"/>
        <v>-2.350375575478553E-2</v>
      </c>
      <c r="T9" s="67"/>
      <c r="U9" s="70" t="str">
        <f t="shared" si="7"/>
        <v/>
      </c>
      <c r="V9" s="3" t="str">
        <f t="shared" si="8"/>
        <v/>
      </c>
      <c r="W9" s="75" t="str">
        <f t="shared" si="9"/>
        <v/>
      </c>
      <c r="X9" s="76">
        <f t="shared" si="10"/>
        <v>91.749999999999972</v>
      </c>
      <c r="Y9" s="75">
        <f t="shared" si="11"/>
        <v>8.8926581051611317E-2</v>
      </c>
      <c r="Z9" s="77">
        <f t="shared" si="12"/>
        <v>3.7835051546391787</v>
      </c>
      <c r="AA9" s="78">
        <f>VLOOKUP(B9,EntradaDatos,$AA$115,FALSE)</f>
        <v>216.8</v>
      </c>
      <c r="AB9" s="70" t="str">
        <f ca="1">IF(AND(N9=0,T9=0),IF(H9&gt;0,+TODAY()-H9,""),"")</f>
        <v/>
      </c>
      <c r="AC9" s="75">
        <f t="shared" si="14"/>
        <v>5.0642112914950355E-2</v>
      </c>
      <c r="AD9" s="22">
        <f t="shared" si="15"/>
        <v>7.5930521091811531E-2</v>
      </c>
      <c r="AE9" s="22">
        <f t="shared" si="16"/>
        <v>-3.5157988429016407E-2</v>
      </c>
      <c r="AF9" s="4">
        <f t="shared" si="17"/>
        <v>0.46302840970240489</v>
      </c>
      <c r="AG9" s="3" t="str">
        <f t="shared" si="18"/>
        <v/>
      </c>
      <c r="AH9" s="79" t="str">
        <f t="shared" si="19"/>
        <v/>
      </c>
    </row>
    <row r="10" spans="1:34" x14ac:dyDescent="0.25">
      <c r="A10" s="63">
        <v>34</v>
      </c>
      <c r="B10" s="80" t="s">
        <v>128</v>
      </c>
      <c r="C10" s="65" t="e">
        <f t="shared" si="0"/>
        <v>#N/A</v>
      </c>
      <c r="D10" s="66">
        <f t="shared" si="20"/>
        <v>987.83999999999992</v>
      </c>
      <c r="E10" s="67">
        <v>45996</v>
      </c>
      <c r="F10" s="68" t="s">
        <v>95</v>
      </c>
      <c r="G10" s="69" t="e">
        <f t="shared" ref="G10" si="25">VLOOKUP(B10,DataTrend,2,FALSE)</f>
        <v>#N/A</v>
      </c>
      <c r="H10" s="67">
        <v>45996</v>
      </c>
      <c r="I10" s="70">
        <f t="shared" si="23"/>
        <v>0</v>
      </c>
      <c r="J10" s="71">
        <v>82.32</v>
      </c>
      <c r="K10" s="72">
        <v>70</v>
      </c>
      <c r="L10" s="73">
        <v>100</v>
      </c>
      <c r="M10" s="74">
        <v>12</v>
      </c>
      <c r="N10" s="67"/>
      <c r="O10" s="70" t="str">
        <f t="shared" si="2"/>
        <v/>
      </c>
      <c r="P10" s="3" t="str">
        <f t="shared" si="3"/>
        <v/>
      </c>
      <c r="Q10" s="75" t="str">
        <f t="shared" si="4"/>
        <v/>
      </c>
      <c r="R10" s="3">
        <f t="shared" si="5"/>
        <v>-147.83999999999992</v>
      </c>
      <c r="S10" s="75">
        <f t="shared" si="6"/>
        <v>-0.14965986394557815</v>
      </c>
      <c r="T10" s="67">
        <v>46036</v>
      </c>
      <c r="U10" s="70">
        <f t="shared" si="7"/>
        <v>40</v>
      </c>
      <c r="V10" s="3">
        <f t="shared" si="8"/>
        <v>213</v>
      </c>
      <c r="W10" s="75">
        <f t="shared" si="9"/>
        <v>0.21562196307094267</v>
      </c>
      <c r="X10" s="76">
        <f t="shared" si="10"/>
        <v>212.16000000000008</v>
      </c>
      <c r="Y10" s="75">
        <f t="shared" si="11"/>
        <v>0.21477162293488833</v>
      </c>
      <c r="Z10" s="77">
        <f t="shared" si="12"/>
        <v>1.4350649350649365</v>
      </c>
      <c r="AA10" s="78">
        <v>100.07</v>
      </c>
      <c r="AB10" s="70" t="str">
        <f t="shared" ref="AB10" ca="1" si="26">IF(AND(N10=0,T10=0),IF(H10&gt;0,+TODAY()-H10,""),"")</f>
        <v/>
      </c>
      <c r="AC10" s="75" t="str">
        <f t="shared" si="14"/>
        <v/>
      </c>
      <c r="AD10" s="22" t="str">
        <f t="shared" si="15"/>
        <v/>
      </c>
      <c r="AE10" s="22" t="str">
        <f t="shared" si="16"/>
        <v/>
      </c>
      <c r="AF10" s="4" t="str">
        <f t="shared" si="17"/>
        <v/>
      </c>
      <c r="AG10" s="3" t="str">
        <f t="shared" si="18"/>
        <v/>
      </c>
      <c r="AH10" s="79" t="str">
        <f t="shared" si="19"/>
        <v/>
      </c>
    </row>
    <row r="11" spans="1:34" x14ac:dyDescent="0.25">
      <c r="B11" s="80" t="s">
        <v>54</v>
      </c>
      <c r="C11" s="65" t="e">
        <f t="shared" si="0"/>
        <v>#N/A</v>
      </c>
      <c r="D11" s="66">
        <f t="shared" si="20"/>
        <v>980.87999999999988</v>
      </c>
      <c r="E11" s="67">
        <v>46036</v>
      </c>
      <c r="F11" s="68" t="s">
        <v>1</v>
      </c>
      <c r="G11" s="69">
        <f t="shared" si="21"/>
        <v>1.4464959666863097E-2</v>
      </c>
      <c r="H11" s="67"/>
      <c r="I11" s="70" t="str">
        <f t="shared" si="23"/>
        <v/>
      </c>
      <c r="J11" s="71">
        <v>81.739999999999995</v>
      </c>
      <c r="K11" s="72">
        <v>76.569999999999993</v>
      </c>
      <c r="L11" s="73">
        <v>100</v>
      </c>
      <c r="M11" s="74">
        <v>12</v>
      </c>
      <c r="N11" s="67"/>
      <c r="O11" s="70" t="str">
        <f t="shared" si="2"/>
        <v/>
      </c>
      <c r="P11" s="3" t="str">
        <f t="shared" si="3"/>
        <v/>
      </c>
      <c r="Q11" s="75" t="str">
        <f t="shared" si="4"/>
        <v/>
      </c>
      <c r="R11" s="3">
        <f t="shared" si="5"/>
        <v>-62.04000000000002</v>
      </c>
      <c r="S11" s="75">
        <f t="shared" si="6"/>
        <v>-6.3249327134817748E-2</v>
      </c>
      <c r="T11" s="67"/>
      <c r="U11" s="70" t="str">
        <f t="shared" si="7"/>
        <v/>
      </c>
      <c r="V11" s="3" t="str">
        <f t="shared" si="8"/>
        <v/>
      </c>
      <c r="W11" s="75" t="str">
        <f t="shared" si="9"/>
        <v/>
      </c>
      <c r="X11" s="76">
        <f t="shared" si="10"/>
        <v>219.12000000000006</v>
      </c>
      <c r="Y11" s="75">
        <f t="shared" si="11"/>
        <v>0.22339124051871798</v>
      </c>
      <c r="Z11" s="77">
        <f t="shared" si="12"/>
        <v>3.5319148936170213</v>
      </c>
      <c r="AA11" s="78">
        <f>VLOOKUP(B11,EntradaDatos,$AA$115,FALSE)</f>
        <v>105.08</v>
      </c>
      <c r="AB11" s="70" t="str">
        <f t="shared" ca="1" si="13"/>
        <v/>
      </c>
      <c r="AC11" s="75">
        <f t="shared" si="14"/>
        <v>0.2855395155370688</v>
      </c>
      <c r="AD11" s="22">
        <f t="shared" si="15"/>
        <v>0.37233903617604813</v>
      </c>
      <c r="AE11" s="22">
        <f t="shared" si="16"/>
        <v>5.0799999999999956E-2</v>
      </c>
      <c r="AF11" s="4">
        <f t="shared" si="17"/>
        <v>-0.13643479480883886</v>
      </c>
      <c r="AG11" s="3" t="str">
        <f t="shared" si="18"/>
        <v/>
      </c>
      <c r="AH11" s="79" t="str">
        <f t="shared" si="19"/>
        <v/>
      </c>
    </row>
    <row r="12" spans="1:34" x14ac:dyDescent="0.25">
      <c r="B12" s="80" t="s">
        <v>18</v>
      </c>
      <c r="C12" s="65">
        <f t="shared" si="0"/>
        <v>0.5</v>
      </c>
      <c r="D12" s="66">
        <f t="shared" si="20"/>
        <v>1003.0799999999999</v>
      </c>
      <c r="E12" s="67">
        <v>46032</v>
      </c>
      <c r="F12" s="68" t="s">
        <v>1</v>
      </c>
      <c r="G12" s="69">
        <f t="shared" ref="G12:G13" si="27">VLOOKUP(B12,DataTrend,2,FALSE)</f>
        <v>7.1661166031691259E-3</v>
      </c>
      <c r="H12" s="82"/>
      <c r="I12" s="70" t="str">
        <f t="shared" si="23"/>
        <v/>
      </c>
      <c r="J12" s="71">
        <v>12.86</v>
      </c>
      <c r="K12" s="72">
        <v>12.58</v>
      </c>
      <c r="L12" s="73">
        <v>13.9</v>
      </c>
      <c r="M12" s="74">
        <v>78</v>
      </c>
      <c r="N12" s="67"/>
      <c r="O12" s="70" t="str">
        <f t="shared" si="2"/>
        <v/>
      </c>
      <c r="P12" s="3" t="str">
        <f t="shared" si="3"/>
        <v/>
      </c>
      <c r="Q12" s="75" t="str">
        <f t="shared" si="4"/>
        <v/>
      </c>
      <c r="R12" s="3">
        <f t="shared" si="5"/>
        <v>-21.83999999999995</v>
      </c>
      <c r="S12" s="75">
        <f t="shared" si="6"/>
        <v>-2.1772939346811772E-2</v>
      </c>
      <c r="T12" s="67"/>
      <c r="U12" s="70" t="str">
        <f t="shared" si="7"/>
        <v/>
      </c>
      <c r="V12" s="3" t="str">
        <f t="shared" si="8"/>
        <v/>
      </c>
      <c r="W12" s="75" t="str">
        <f t="shared" si="9"/>
        <v/>
      </c>
      <c r="X12" s="76">
        <f t="shared" si="10"/>
        <v>81.120000000000076</v>
      </c>
      <c r="Y12" s="75">
        <f t="shared" si="11"/>
        <v>8.0870917573872547E-2</v>
      </c>
      <c r="Z12" s="77">
        <f t="shared" si="12"/>
        <v>3.7142857142857264</v>
      </c>
      <c r="AA12" s="78">
        <f>VLOOKUP(B12,EntradaDatos,$AA$115,FALSE)</f>
        <v>13.22</v>
      </c>
      <c r="AB12" s="70" t="str">
        <f t="shared" ca="1" si="13"/>
        <v/>
      </c>
      <c r="AC12" s="75">
        <f t="shared" si="14"/>
        <v>2.7993779160186749E-2</v>
      </c>
      <c r="AD12" s="22">
        <f t="shared" si="15"/>
        <v>5.0874403815580393E-2</v>
      </c>
      <c r="AE12" s="22">
        <f t="shared" si="16"/>
        <v>-4.8920863309352525E-2</v>
      </c>
      <c r="AF12" s="4">
        <f t="shared" si="17"/>
        <v>0.96160071942445857</v>
      </c>
      <c r="AG12" s="3" t="str">
        <f t="shared" si="18"/>
        <v/>
      </c>
      <c r="AH12" s="79" t="str">
        <f t="shared" si="19"/>
        <v/>
      </c>
    </row>
    <row r="13" spans="1:34" x14ac:dyDescent="0.25">
      <c r="A13" s="63">
        <v>10</v>
      </c>
      <c r="B13" s="64" t="s">
        <v>100</v>
      </c>
      <c r="C13" s="65" t="e">
        <f t="shared" si="0"/>
        <v>#N/A</v>
      </c>
      <c r="D13" s="66">
        <f t="shared" si="20"/>
        <v>999.99599999999998</v>
      </c>
      <c r="E13" s="67">
        <v>45985</v>
      </c>
      <c r="F13" s="68" t="s">
        <v>95</v>
      </c>
      <c r="G13" s="69" t="e">
        <f t="shared" si="27"/>
        <v>#N/A</v>
      </c>
      <c r="H13" s="67">
        <v>45980</v>
      </c>
      <c r="I13" s="70">
        <f t="shared" si="23"/>
        <v>-5</v>
      </c>
      <c r="J13" s="71">
        <v>0.1336</v>
      </c>
      <c r="K13" s="72">
        <v>0.125</v>
      </c>
      <c r="L13" s="73">
        <v>0.14899999999999999</v>
      </c>
      <c r="M13" s="74">
        <v>7485</v>
      </c>
      <c r="N13" s="67"/>
      <c r="O13" s="70" t="str">
        <f t="shared" si="2"/>
        <v/>
      </c>
      <c r="P13" s="3" t="str">
        <f t="shared" si="3"/>
        <v/>
      </c>
      <c r="Q13" s="75" t="str">
        <f t="shared" si="4"/>
        <v/>
      </c>
      <c r="R13" s="3">
        <f t="shared" si="5"/>
        <v>-64.370999999999981</v>
      </c>
      <c r="S13" s="75">
        <f t="shared" si="6"/>
        <v>-6.437125748502992E-2</v>
      </c>
      <c r="T13" s="67">
        <v>46014</v>
      </c>
      <c r="U13" s="70">
        <f t="shared" si="7"/>
        <v>34</v>
      </c>
      <c r="V13" s="3">
        <f t="shared" si="8"/>
        <v>115.26899999999998</v>
      </c>
      <c r="W13" s="75">
        <f t="shared" si="9"/>
        <v>0.11526946107784429</v>
      </c>
      <c r="X13" s="76">
        <f t="shared" si="10"/>
        <v>115.26899999999998</v>
      </c>
      <c r="Y13" s="75">
        <f t="shared" si="11"/>
        <v>0.11526946107784429</v>
      </c>
      <c r="Z13" s="77">
        <f t="shared" si="12"/>
        <v>1.7906976744186047</v>
      </c>
      <c r="AA13" s="78">
        <v>0.14899999999999999</v>
      </c>
      <c r="AB13" s="70" t="str">
        <f t="shared" ca="1" si="13"/>
        <v/>
      </c>
      <c r="AC13" s="75" t="str">
        <f t="shared" si="14"/>
        <v/>
      </c>
      <c r="AD13" s="22" t="str">
        <f t="shared" si="15"/>
        <v/>
      </c>
      <c r="AE13" s="22" t="str">
        <f t="shared" si="16"/>
        <v/>
      </c>
      <c r="AF13" s="4" t="str">
        <f t="shared" si="17"/>
        <v/>
      </c>
      <c r="AG13" s="3" t="str">
        <f t="shared" si="18"/>
        <v/>
      </c>
      <c r="AH13" s="79" t="str">
        <f t="shared" si="19"/>
        <v/>
      </c>
    </row>
    <row r="14" spans="1:34" x14ac:dyDescent="0.25">
      <c r="B14" s="64" t="s">
        <v>27</v>
      </c>
      <c r="C14" s="65">
        <f t="shared" si="0"/>
        <v>0.54</v>
      </c>
      <c r="D14" s="66">
        <f t="shared" si="20"/>
        <v>1278.4380000000001</v>
      </c>
      <c r="E14" s="67">
        <v>46033</v>
      </c>
      <c r="F14" s="68" t="s">
        <v>1</v>
      </c>
      <c r="G14" s="69">
        <f t="shared" si="21"/>
        <v>-1.0526315789473694E-2</v>
      </c>
      <c r="H14" s="82"/>
      <c r="I14" s="70" t="str">
        <f t="shared" si="23"/>
        <v/>
      </c>
      <c r="J14" s="71">
        <v>0.17080000000000001</v>
      </c>
      <c r="K14" s="72">
        <v>0.15939999999999999</v>
      </c>
      <c r="L14" s="73">
        <v>0.1988</v>
      </c>
      <c r="M14" s="74">
        <v>7485</v>
      </c>
      <c r="N14" s="67"/>
      <c r="O14" s="70" t="str">
        <f t="shared" si="2"/>
        <v/>
      </c>
      <c r="P14" s="3" t="str">
        <f t="shared" si="3"/>
        <v/>
      </c>
      <c r="Q14" s="75" t="str">
        <f t="shared" si="4"/>
        <v/>
      </c>
      <c r="R14" s="3">
        <f t="shared" si="5"/>
        <v>-85.329000000000164</v>
      </c>
      <c r="S14" s="75">
        <f t="shared" si="6"/>
        <v>-6.6744730679157038E-2</v>
      </c>
      <c r="T14" s="67"/>
      <c r="U14" s="70" t="str">
        <f t="shared" si="7"/>
        <v/>
      </c>
      <c r="V14" s="3" t="str">
        <f t="shared" si="8"/>
        <v/>
      </c>
      <c r="W14" s="75" t="str">
        <f t="shared" si="9"/>
        <v/>
      </c>
      <c r="X14" s="76">
        <f t="shared" si="10"/>
        <v>209.57999999999998</v>
      </c>
      <c r="Y14" s="75">
        <f t="shared" si="11"/>
        <v>0.16393442622950818</v>
      </c>
      <c r="Z14" s="77">
        <f t="shared" si="12"/>
        <v>2.4561403508771882</v>
      </c>
      <c r="AA14" s="78">
        <f>VLOOKUP(B14,EntradaDatos,$AA$115,FALSE)</f>
        <v>0.18</v>
      </c>
      <c r="AB14" s="70" t="str">
        <f t="shared" ca="1" si="13"/>
        <v/>
      </c>
      <c r="AC14" s="75">
        <f t="shared" si="14"/>
        <v>5.3864168618266817E-2</v>
      </c>
      <c r="AD14" s="22">
        <f t="shared" si="15"/>
        <v>0.12923462986198242</v>
      </c>
      <c r="AE14" s="22">
        <f t="shared" si="16"/>
        <v>-9.456740442655942E-2</v>
      </c>
      <c r="AF14" s="4">
        <f t="shared" si="17"/>
        <v>0.73174972163075602</v>
      </c>
      <c r="AG14" s="3" t="str">
        <f t="shared" si="18"/>
        <v/>
      </c>
      <c r="AH14" s="79" t="str">
        <f t="shared" si="19"/>
        <v/>
      </c>
    </row>
    <row r="15" spans="1:34" x14ac:dyDescent="0.25">
      <c r="B15" s="80" t="s">
        <v>79</v>
      </c>
      <c r="C15" s="65">
        <f t="shared" si="0"/>
        <v>0.54</v>
      </c>
      <c r="D15" s="66">
        <f t="shared" si="20"/>
        <v>1010.56</v>
      </c>
      <c r="E15" s="67">
        <v>45985</v>
      </c>
      <c r="F15" s="68" t="s">
        <v>60</v>
      </c>
      <c r="G15" s="69">
        <f t="shared" si="21"/>
        <v>-1.095466059729735E-2</v>
      </c>
      <c r="H15" s="67">
        <v>45985</v>
      </c>
      <c r="I15" s="70">
        <f t="shared" si="23"/>
        <v>0</v>
      </c>
      <c r="J15" s="71">
        <v>63.16</v>
      </c>
      <c r="K15" s="72">
        <v>59.8</v>
      </c>
      <c r="L15" s="73">
        <v>67</v>
      </c>
      <c r="M15" s="74">
        <v>16</v>
      </c>
      <c r="N15" s="67"/>
      <c r="O15" s="70" t="str">
        <f t="shared" si="2"/>
        <v/>
      </c>
      <c r="P15" s="3" t="str">
        <f t="shared" si="3"/>
        <v/>
      </c>
      <c r="Q15" s="75" t="str">
        <f t="shared" si="4"/>
        <v/>
      </c>
      <c r="R15" s="3">
        <f t="shared" si="5"/>
        <v>-53.759999999999991</v>
      </c>
      <c r="S15" s="75">
        <f t="shared" si="6"/>
        <v>-5.3198226725775802E-2</v>
      </c>
      <c r="T15" s="67"/>
      <c r="U15" s="70" t="str">
        <f t="shared" si="7"/>
        <v/>
      </c>
      <c r="V15" s="3" t="str">
        <f t="shared" si="8"/>
        <v/>
      </c>
      <c r="W15" s="75" t="str">
        <f t="shared" si="9"/>
        <v/>
      </c>
      <c r="X15" s="76">
        <f t="shared" si="10"/>
        <v>61.440000000000055</v>
      </c>
      <c r="Y15" s="75">
        <f t="shared" si="11"/>
        <v>6.0797973400886697E-2</v>
      </c>
      <c r="Z15" s="77">
        <f t="shared" si="12"/>
        <v>1.1428571428571441</v>
      </c>
      <c r="AA15" s="78">
        <f>VLOOKUP(B15,EntradaDatos,$AA$115,FALSE)</f>
        <v>60.8</v>
      </c>
      <c r="AB15" s="70">
        <f t="shared" ca="1" si="13"/>
        <v>54</v>
      </c>
      <c r="AC15" s="75" t="str">
        <f t="shared" si="14"/>
        <v/>
      </c>
      <c r="AD15" s="22">
        <f t="shared" si="15"/>
        <v>1.6722408026755842E-2</v>
      </c>
      <c r="AE15" s="22">
        <f t="shared" si="16"/>
        <v>-9.2537313432835888E-2</v>
      </c>
      <c r="AF15" s="4">
        <f t="shared" si="17"/>
        <v>5.5337313432835895</v>
      </c>
      <c r="AG15" s="3">
        <f t="shared" si="18"/>
        <v>-37.759999999999948</v>
      </c>
      <c r="AH15" s="79">
        <f t="shared" si="19"/>
        <v>-3.7365421152628198E-2</v>
      </c>
    </row>
    <row r="16" spans="1:34" x14ac:dyDescent="0.25">
      <c r="B16" s="80" t="s">
        <v>25</v>
      </c>
      <c r="C16" s="65">
        <f t="shared" si="0"/>
        <v>0.63</v>
      </c>
      <c r="D16" s="66">
        <f t="shared" si="20"/>
        <v>910.36</v>
      </c>
      <c r="E16" s="67">
        <v>46027</v>
      </c>
      <c r="F16" s="68" t="s">
        <v>1</v>
      </c>
      <c r="G16" s="69">
        <f t="shared" si="21"/>
        <v>-6.8759300697742278E-3</v>
      </c>
      <c r="H16" s="82"/>
      <c r="I16" s="70" t="str">
        <f t="shared" si="23"/>
        <v/>
      </c>
      <c r="J16" s="71">
        <v>227.59</v>
      </c>
      <c r="K16" s="72">
        <v>219.18</v>
      </c>
      <c r="L16" s="73">
        <v>257</v>
      </c>
      <c r="M16" s="74">
        <v>4</v>
      </c>
      <c r="N16" s="67"/>
      <c r="O16" s="70" t="str">
        <f t="shared" si="2"/>
        <v/>
      </c>
      <c r="P16" s="3" t="str">
        <f t="shared" si="3"/>
        <v/>
      </c>
      <c r="Q16" s="75" t="str">
        <f t="shared" si="4"/>
        <v/>
      </c>
      <c r="R16" s="3">
        <f t="shared" si="5"/>
        <v>-33.639999999999986</v>
      </c>
      <c r="S16" s="75">
        <f t="shared" si="6"/>
        <v>-3.6952414429456466E-2</v>
      </c>
      <c r="T16" s="67"/>
      <c r="U16" s="70" t="str">
        <f t="shared" si="7"/>
        <v/>
      </c>
      <c r="V16" s="3" t="str">
        <f t="shared" si="8"/>
        <v/>
      </c>
      <c r="W16" s="75" t="str">
        <f t="shared" si="9"/>
        <v/>
      </c>
      <c r="X16" s="76">
        <f t="shared" si="10"/>
        <v>117.63999999999999</v>
      </c>
      <c r="Y16" s="75">
        <f t="shared" si="11"/>
        <v>0.12922360384902673</v>
      </c>
      <c r="Z16" s="77">
        <f t="shared" si="12"/>
        <v>3.4970273483947691</v>
      </c>
      <c r="AA16" s="78">
        <f>VLOOKUP(B16,EntradaDatos,$AA$115,FALSE)</f>
        <v>239.12</v>
      </c>
      <c r="AB16" s="70" t="str">
        <f t="shared" ca="1" si="13"/>
        <v/>
      </c>
      <c r="AC16" s="75">
        <f t="shared" si="14"/>
        <v>5.0661276857506987E-2</v>
      </c>
      <c r="AD16" s="22">
        <f t="shared" si="15"/>
        <v>9.0975453964777797E-2</v>
      </c>
      <c r="AE16" s="22">
        <f t="shared" si="16"/>
        <v>-6.9571984435797596E-2</v>
      </c>
      <c r="AF16" s="4">
        <f t="shared" si="17"/>
        <v>0.76473357816640519</v>
      </c>
      <c r="AG16" s="3" t="str">
        <f t="shared" si="18"/>
        <v/>
      </c>
      <c r="AH16" s="79" t="str">
        <f t="shared" si="19"/>
        <v/>
      </c>
    </row>
    <row r="17" spans="1:34" x14ac:dyDescent="0.25">
      <c r="B17" s="80" t="s">
        <v>45</v>
      </c>
      <c r="C17" s="65">
        <f t="shared" si="0"/>
        <v>0.56000000000000005</v>
      </c>
      <c r="D17" s="66">
        <f t="shared" si="20"/>
        <v>1075</v>
      </c>
      <c r="E17" s="67">
        <v>46013</v>
      </c>
      <c r="F17" s="68" t="s">
        <v>1</v>
      </c>
      <c r="G17" s="69">
        <f t="shared" ref="G17:G18" si="28">VLOOKUP(B17,DataTrend,2,FALSE)</f>
        <v>8.6710969055996175E-3</v>
      </c>
      <c r="H17" s="82"/>
      <c r="I17" s="70" t="str">
        <f t="shared" si="23"/>
        <v/>
      </c>
      <c r="J17" s="71">
        <v>215</v>
      </c>
      <c r="K17" s="72">
        <v>190</v>
      </c>
      <c r="L17" s="73">
        <v>243</v>
      </c>
      <c r="M17" s="74">
        <v>5</v>
      </c>
      <c r="N17" s="67"/>
      <c r="O17" s="70" t="str">
        <f t="shared" si="2"/>
        <v/>
      </c>
      <c r="P17" s="3" t="str">
        <f t="shared" si="3"/>
        <v/>
      </c>
      <c r="Q17" s="75" t="str">
        <f t="shared" si="4"/>
        <v/>
      </c>
      <c r="R17" s="3">
        <f t="shared" si="5"/>
        <v>-125</v>
      </c>
      <c r="S17" s="75">
        <f t="shared" si="6"/>
        <v>-0.11627906976744186</v>
      </c>
      <c r="T17" s="67"/>
      <c r="U17" s="70" t="str">
        <f t="shared" si="7"/>
        <v/>
      </c>
      <c r="V17" s="3" t="str">
        <f t="shared" si="8"/>
        <v/>
      </c>
      <c r="W17" s="75" t="str">
        <f t="shared" si="9"/>
        <v/>
      </c>
      <c r="X17" s="76">
        <f t="shared" si="10"/>
        <v>140</v>
      </c>
      <c r="Y17" s="75">
        <f t="shared" si="11"/>
        <v>0.13023255813953488</v>
      </c>
      <c r="Z17" s="77">
        <f t="shared" si="12"/>
        <v>1.1200000000000001</v>
      </c>
      <c r="AA17" s="78">
        <f>VLOOKUP(B17,EntradaDatos,$AA$115,FALSE)</f>
        <v>247.68</v>
      </c>
      <c r="AB17" s="70" t="str">
        <f t="shared" ca="1" si="13"/>
        <v/>
      </c>
      <c r="AC17" s="75">
        <f t="shared" si="14"/>
        <v>0.15200000000000014</v>
      </c>
      <c r="AD17" s="22">
        <f t="shared" si="15"/>
        <v>0.30357894736842117</v>
      </c>
      <c r="AE17" s="22">
        <f t="shared" si="16"/>
        <v>1.9259259259259309E-2</v>
      </c>
      <c r="AF17" s="4">
        <f t="shared" si="17"/>
        <v>-6.3440694508655818E-2</v>
      </c>
      <c r="AG17" s="3" t="str">
        <f t="shared" si="18"/>
        <v/>
      </c>
      <c r="AH17" s="79" t="str">
        <f t="shared" si="19"/>
        <v/>
      </c>
    </row>
    <row r="18" spans="1:34" x14ac:dyDescent="0.25">
      <c r="A18" s="63">
        <v>22</v>
      </c>
      <c r="B18" s="64" t="s">
        <v>129</v>
      </c>
      <c r="C18" s="65" t="e">
        <f t="shared" ref="C18" si="29">VLOOKUP(B18,Probabilidad,$C$115,FALSE)</f>
        <v>#N/A</v>
      </c>
      <c r="D18" s="66">
        <f t="shared" si="20"/>
        <v>909.5</v>
      </c>
      <c r="E18" s="67">
        <v>46021</v>
      </c>
      <c r="F18" s="68" t="s">
        <v>95</v>
      </c>
      <c r="G18" s="69" t="e">
        <f t="shared" si="28"/>
        <v>#N/A</v>
      </c>
      <c r="H18" s="67">
        <v>46022</v>
      </c>
      <c r="I18" s="70">
        <f t="shared" si="23"/>
        <v>1</v>
      </c>
      <c r="J18" s="71">
        <v>909.5</v>
      </c>
      <c r="K18" s="72">
        <v>890</v>
      </c>
      <c r="L18" s="73">
        <v>1082</v>
      </c>
      <c r="M18" s="74">
        <v>1</v>
      </c>
      <c r="N18" s="67"/>
      <c r="O18" s="70" t="str">
        <f t="shared" si="2"/>
        <v/>
      </c>
      <c r="P18" s="3" t="str">
        <f t="shared" si="3"/>
        <v/>
      </c>
      <c r="Q18" s="75" t="str">
        <f t="shared" si="4"/>
        <v/>
      </c>
      <c r="R18" s="3">
        <f t="shared" si="5"/>
        <v>-19.5</v>
      </c>
      <c r="S18" s="75">
        <f t="shared" si="6"/>
        <v>-2.1440351841671246E-2</v>
      </c>
      <c r="T18" s="67">
        <v>46034</v>
      </c>
      <c r="U18" s="70">
        <f t="shared" si="7"/>
        <v>12</v>
      </c>
      <c r="V18" s="3">
        <f t="shared" si="8"/>
        <v>180.70000000000005</v>
      </c>
      <c r="W18" s="75">
        <f t="shared" si="9"/>
        <v>0.19868059373282029</v>
      </c>
      <c r="X18" s="76">
        <f t="shared" si="10"/>
        <v>172.5</v>
      </c>
      <c r="Y18" s="75">
        <f t="shared" si="11"/>
        <v>0.18966465090709181</v>
      </c>
      <c r="Z18" s="77">
        <f t="shared" si="12"/>
        <v>8.8461538461538467</v>
      </c>
      <c r="AA18" s="78">
        <v>1090.2</v>
      </c>
      <c r="AB18" s="70" t="str">
        <f t="shared" ca="1" si="13"/>
        <v/>
      </c>
      <c r="AC18" s="75" t="str">
        <f t="shared" si="14"/>
        <v/>
      </c>
      <c r="AD18" s="22" t="str">
        <f t="shared" si="15"/>
        <v/>
      </c>
      <c r="AE18" s="22" t="str">
        <f t="shared" si="16"/>
        <v/>
      </c>
      <c r="AF18" s="4" t="str">
        <f t="shared" si="17"/>
        <v/>
      </c>
      <c r="AG18" s="3" t="str">
        <f t="shared" si="18"/>
        <v/>
      </c>
      <c r="AH18" s="79" t="str">
        <f t="shared" si="19"/>
        <v/>
      </c>
    </row>
    <row r="19" spans="1:34" x14ac:dyDescent="0.25">
      <c r="B19" s="80" t="s">
        <v>51</v>
      </c>
      <c r="C19" s="65">
        <f t="shared" ref="C19:C29" si="30">VLOOKUP(B19,Probabilidad,$C$115,FALSE)</f>
        <v>0.61</v>
      </c>
      <c r="D19" s="66">
        <f t="shared" si="20"/>
        <v>985.2</v>
      </c>
      <c r="E19" s="67">
        <v>46034</v>
      </c>
      <c r="F19" s="68" t="s">
        <v>1</v>
      </c>
      <c r="G19" s="69">
        <f t="shared" ref="G19" si="31">VLOOKUP(B19,DataTrend,2,FALSE)</f>
        <v>-1.421321329085048E-2</v>
      </c>
      <c r="H19" s="81"/>
      <c r="I19" s="70" t="str">
        <f t="shared" si="23"/>
        <v/>
      </c>
      <c r="J19" s="71">
        <v>985.2</v>
      </c>
      <c r="K19" s="72">
        <v>963.1</v>
      </c>
      <c r="L19" s="73">
        <v>1082</v>
      </c>
      <c r="M19" s="74">
        <v>1</v>
      </c>
      <c r="N19" s="67"/>
      <c r="O19" s="70" t="str">
        <f t="shared" si="2"/>
        <v/>
      </c>
      <c r="P19" s="3" t="str">
        <f t="shared" si="3"/>
        <v/>
      </c>
      <c r="Q19" s="75" t="str">
        <f t="shared" si="4"/>
        <v/>
      </c>
      <c r="R19" s="3">
        <f t="shared" si="5"/>
        <v>-22.100000000000023</v>
      </c>
      <c r="S19" s="75">
        <f t="shared" si="6"/>
        <v>-2.2431993503857106E-2</v>
      </c>
      <c r="T19" s="67"/>
      <c r="U19" s="70" t="str">
        <f t="shared" si="7"/>
        <v/>
      </c>
      <c r="V19" s="3" t="str">
        <f t="shared" si="8"/>
        <v/>
      </c>
      <c r="W19" s="75" t="str">
        <f t="shared" si="9"/>
        <v/>
      </c>
      <c r="X19" s="76">
        <f t="shared" si="10"/>
        <v>96.799999999999955</v>
      </c>
      <c r="Y19" s="75">
        <f t="shared" si="11"/>
        <v>9.8254161591554964E-2</v>
      </c>
      <c r="Z19" s="77">
        <f t="shared" si="12"/>
        <v>4.3800904977375499</v>
      </c>
      <c r="AA19" s="78">
        <f>VLOOKUP(B19,EntradaDatos,$AA$115,FALSE)</f>
        <v>1167.2</v>
      </c>
      <c r="AB19" s="70" t="str">
        <f t="shared" ca="1" si="13"/>
        <v/>
      </c>
      <c r="AC19" s="75">
        <f t="shared" si="14"/>
        <v>0.18473406414941129</v>
      </c>
      <c r="AD19" s="22">
        <f t="shared" si="15"/>
        <v>0.21191984217630577</v>
      </c>
      <c r="AE19" s="22">
        <f t="shared" si="16"/>
        <v>7.8743068391867066E-2</v>
      </c>
      <c r="AF19" s="4">
        <f t="shared" si="17"/>
        <v>-0.37157005961884926</v>
      </c>
      <c r="AG19" s="3" t="str">
        <f t="shared" si="18"/>
        <v/>
      </c>
      <c r="AH19" s="79" t="str">
        <f t="shared" si="19"/>
        <v/>
      </c>
    </row>
    <row r="20" spans="1:34" x14ac:dyDescent="0.25">
      <c r="B20" s="80" t="s">
        <v>15</v>
      </c>
      <c r="C20" s="65">
        <f t="shared" si="30"/>
        <v>0.57999999999999996</v>
      </c>
      <c r="D20" s="66">
        <f t="shared" si="20"/>
        <v>1011.01</v>
      </c>
      <c r="E20" s="67">
        <v>46026</v>
      </c>
      <c r="F20" s="68" t="s">
        <v>1</v>
      </c>
      <c r="G20" s="69">
        <f t="shared" si="21"/>
        <v>-4.4956739643745355E-3</v>
      </c>
      <c r="H20" s="82"/>
      <c r="I20" s="70" t="str">
        <f t="shared" si="23"/>
        <v/>
      </c>
      <c r="J20" s="71">
        <v>77.77</v>
      </c>
      <c r="K20" s="72">
        <v>76.41</v>
      </c>
      <c r="L20" s="73">
        <v>84.56</v>
      </c>
      <c r="M20" s="74">
        <v>13</v>
      </c>
      <c r="N20" s="67"/>
      <c r="O20" s="70" t="str">
        <f t="shared" si="2"/>
        <v/>
      </c>
      <c r="P20" s="3" t="str">
        <f t="shared" si="3"/>
        <v/>
      </c>
      <c r="Q20" s="75" t="str">
        <f t="shared" si="4"/>
        <v/>
      </c>
      <c r="R20" s="3">
        <f t="shared" si="5"/>
        <v>-17.679999999999993</v>
      </c>
      <c r="S20" s="75">
        <f t="shared" si="6"/>
        <v>-1.7487463032017481E-2</v>
      </c>
      <c r="T20" s="67"/>
      <c r="U20" s="70" t="str">
        <f t="shared" si="7"/>
        <v/>
      </c>
      <c r="V20" s="3" t="str">
        <f t="shared" si="8"/>
        <v/>
      </c>
      <c r="W20" s="75" t="str">
        <f t="shared" si="9"/>
        <v/>
      </c>
      <c r="X20" s="76">
        <f t="shared" si="10"/>
        <v>88.270000000000081</v>
      </c>
      <c r="Y20" s="75">
        <f t="shared" si="11"/>
        <v>8.7308730873087395E-2</v>
      </c>
      <c r="Z20" s="77">
        <f t="shared" si="12"/>
        <v>4.9926470588235361</v>
      </c>
      <c r="AA20" s="78">
        <f>VLOOKUP(B20,EntradaDatos,$AA$115,FALSE)</f>
        <v>79</v>
      </c>
      <c r="AB20" s="70" t="str">
        <f t="shared" ca="1" si="13"/>
        <v/>
      </c>
      <c r="AC20" s="75">
        <f t="shared" si="14"/>
        <v>1.5815867301015807E-2</v>
      </c>
      <c r="AD20" s="22">
        <f t="shared" si="15"/>
        <v>3.3896086899620537E-2</v>
      </c>
      <c r="AE20" s="22">
        <f t="shared" si="16"/>
        <v>-6.5752128666035969E-2</v>
      </c>
      <c r="AF20" s="4">
        <f t="shared" si="17"/>
        <v>1.9398147302593816</v>
      </c>
      <c r="AG20" s="3" t="str">
        <f t="shared" si="18"/>
        <v/>
      </c>
      <c r="AH20" s="79" t="str">
        <f t="shared" si="19"/>
        <v/>
      </c>
    </row>
    <row r="21" spans="1:34" x14ac:dyDescent="0.25">
      <c r="A21" s="63">
        <v>19</v>
      </c>
      <c r="B21" s="64" t="s">
        <v>103</v>
      </c>
      <c r="C21" s="65" t="e">
        <f t="shared" si="30"/>
        <v>#N/A</v>
      </c>
      <c r="D21" s="66">
        <f t="shared" si="20"/>
        <v>1028.5</v>
      </c>
      <c r="E21" s="67">
        <v>46020</v>
      </c>
      <c r="F21" s="68" t="s">
        <v>95</v>
      </c>
      <c r="G21" s="69" t="e">
        <f t="shared" ref="G21" si="32">VLOOKUP(B21,DataTrend,2,FALSE)</f>
        <v>#N/A</v>
      </c>
      <c r="H21" s="67">
        <v>46021</v>
      </c>
      <c r="I21" s="70">
        <f t="shared" si="23"/>
        <v>1</v>
      </c>
      <c r="J21" s="71">
        <v>93.5</v>
      </c>
      <c r="K21" s="72">
        <v>85</v>
      </c>
      <c r="L21" s="73">
        <v>110</v>
      </c>
      <c r="M21" s="74">
        <v>11</v>
      </c>
      <c r="N21" s="67"/>
      <c r="O21" s="70" t="str">
        <f t="shared" si="2"/>
        <v/>
      </c>
      <c r="P21" s="3" t="str">
        <f t="shared" si="3"/>
        <v/>
      </c>
      <c r="Q21" s="75" t="str">
        <f t="shared" si="4"/>
        <v/>
      </c>
      <c r="R21" s="3">
        <f t="shared" si="5"/>
        <v>-93.5</v>
      </c>
      <c r="S21" s="75">
        <f t="shared" si="6"/>
        <v>-9.0909090909090912E-2</v>
      </c>
      <c r="T21" s="67">
        <v>46030</v>
      </c>
      <c r="U21" s="70">
        <f t="shared" si="7"/>
        <v>9</v>
      </c>
      <c r="V21" s="3">
        <f t="shared" si="8"/>
        <v>181.5</v>
      </c>
      <c r="W21" s="75">
        <f t="shared" si="9"/>
        <v>0.17647058823529413</v>
      </c>
      <c r="X21" s="76">
        <f t="shared" si="10"/>
        <v>181.5</v>
      </c>
      <c r="Y21" s="75">
        <f t="shared" si="11"/>
        <v>0.17647058823529413</v>
      </c>
      <c r="Z21" s="77">
        <f t="shared" si="12"/>
        <v>1.9411764705882353</v>
      </c>
      <c r="AA21" s="78">
        <v>110</v>
      </c>
      <c r="AB21" s="70" t="str">
        <f t="shared" ca="1" si="13"/>
        <v/>
      </c>
      <c r="AC21" s="75" t="str">
        <f t="shared" si="14"/>
        <v/>
      </c>
      <c r="AD21" s="22" t="str">
        <f t="shared" si="15"/>
        <v/>
      </c>
      <c r="AE21" s="22" t="str">
        <f t="shared" si="16"/>
        <v/>
      </c>
      <c r="AF21" s="4" t="str">
        <f t="shared" si="17"/>
        <v/>
      </c>
      <c r="AG21" s="3" t="str">
        <f t="shared" si="18"/>
        <v/>
      </c>
      <c r="AH21" s="79" t="str">
        <f t="shared" si="19"/>
        <v/>
      </c>
    </row>
    <row r="22" spans="1:34" x14ac:dyDescent="0.25">
      <c r="B22" s="80" t="s">
        <v>46</v>
      </c>
      <c r="C22" s="65">
        <f t="shared" si="30"/>
        <v>0.5</v>
      </c>
      <c r="D22" s="66">
        <f t="shared" si="20"/>
        <v>1079.8700000000001</v>
      </c>
      <c r="E22" s="67">
        <v>46033</v>
      </c>
      <c r="F22" s="68" t="s">
        <v>1</v>
      </c>
      <c r="G22" s="69">
        <f t="shared" si="21"/>
        <v>-9.0610518233393835E-4</v>
      </c>
      <c r="H22" s="81"/>
      <c r="I22" s="70" t="str">
        <f t="shared" si="23"/>
        <v/>
      </c>
      <c r="J22" s="71">
        <v>98.17</v>
      </c>
      <c r="K22" s="72">
        <v>91.33</v>
      </c>
      <c r="L22" s="73">
        <v>110.91</v>
      </c>
      <c r="M22" s="74">
        <v>11</v>
      </c>
      <c r="N22" s="67"/>
      <c r="O22" s="70" t="str">
        <f t="shared" si="2"/>
        <v/>
      </c>
      <c r="P22" s="3" t="str">
        <f t="shared" si="3"/>
        <v/>
      </c>
      <c r="Q22" s="75" t="str">
        <f t="shared" si="4"/>
        <v/>
      </c>
      <c r="R22" s="3">
        <f t="shared" si="5"/>
        <v>-75.240000000000038</v>
      </c>
      <c r="S22" s="75">
        <f t="shared" si="6"/>
        <v>-6.9675053478659502E-2</v>
      </c>
      <c r="T22" s="67"/>
      <c r="U22" s="70" t="str">
        <f t="shared" si="7"/>
        <v/>
      </c>
      <c r="V22" s="3" t="str">
        <f t="shared" si="8"/>
        <v/>
      </c>
      <c r="W22" s="75" t="str">
        <f t="shared" si="9"/>
        <v/>
      </c>
      <c r="X22" s="76">
        <f t="shared" si="10"/>
        <v>140.13999999999993</v>
      </c>
      <c r="Y22" s="75">
        <f t="shared" si="11"/>
        <v>0.12977488030966683</v>
      </c>
      <c r="Z22" s="77">
        <f t="shared" si="12"/>
        <v>1.8625730994152028</v>
      </c>
      <c r="AA22" s="78">
        <f>VLOOKUP(B22,EntradaDatos,$AA$115,FALSE)</f>
        <v>113.41</v>
      </c>
      <c r="AB22" s="70" t="str">
        <f t="shared" ca="1" si="13"/>
        <v/>
      </c>
      <c r="AC22" s="75">
        <f t="shared" si="14"/>
        <v>0.15524090862789031</v>
      </c>
      <c r="AD22" s="22">
        <f t="shared" si="15"/>
        <v>0.24176064819883947</v>
      </c>
      <c r="AE22" s="22">
        <f t="shared" si="16"/>
        <v>2.2540798845911203E-2</v>
      </c>
      <c r="AF22" s="4">
        <f t="shared" si="17"/>
        <v>-9.3236012617620892E-2</v>
      </c>
      <c r="AG22" s="3" t="str">
        <f t="shared" si="18"/>
        <v/>
      </c>
      <c r="AH22" s="79" t="str">
        <f t="shared" si="19"/>
        <v/>
      </c>
    </row>
    <row r="23" spans="1:34" x14ac:dyDescent="0.25">
      <c r="B23" s="80" t="s">
        <v>37</v>
      </c>
      <c r="C23" s="65">
        <f t="shared" si="30"/>
        <v>0.55000000000000004</v>
      </c>
      <c r="D23" s="66">
        <f t="shared" si="20"/>
        <v>1070.72</v>
      </c>
      <c r="E23" s="67">
        <v>46033</v>
      </c>
      <c r="F23" s="68" t="s">
        <v>1</v>
      </c>
      <c r="G23" s="69">
        <f t="shared" ref="G23" si="33">VLOOKUP(B23,DataTrend,2,FALSE)</f>
        <v>2.9160004895129044E-3</v>
      </c>
      <c r="H23" s="82"/>
      <c r="I23" s="70" t="str">
        <f t="shared" si="23"/>
        <v/>
      </c>
      <c r="J23" s="71">
        <v>19.12</v>
      </c>
      <c r="K23" s="72">
        <v>18.690000000000001</v>
      </c>
      <c r="L23" s="73">
        <v>20.71</v>
      </c>
      <c r="M23" s="83">
        <v>56</v>
      </c>
      <c r="N23" s="67"/>
      <c r="O23" s="70" t="str">
        <f t="shared" si="2"/>
        <v/>
      </c>
      <c r="P23" s="3" t="str">
        <f t="shared" si="3"/>
        <v/>
      </c>
      <c r="Q23" s="75" t="str">
        <f t="shared" si="4"/>
        <v/>
      </c>
      <c r="R23" s="3">
        <f t="shared" si="5"/>
        <v>-24.079999999999984</v>
      </c>
      <c r="S23" s="75">
        <f t="shared" si="6"/>
        <v>-2.2489539748953961E-2</v>
      </c>
      <c r="T23" s="67"/>
      <c r="U23" s="70" t="str">
        <f t="shared" si="7"/>
        <v/>
      </c>
      <c r="V23" s="3" t="str">
        <f t="shared" si="8"/>
        <v/>
      </c>
      <c r="W23" s="75" t="str">
        <f t="shared" si="9"/>
        <v/>
      </c>
      <c r="X23" s="76">
        <f t="shared" si="10"/>
        <v>89.039999999999992</v>
      </c>
      <c r="Y23" s="75">
        <f t="shared" si="11"/>
        <v>8.315899581589957E-2</v>
      </c>
      <c r="Z23" s="77">
        <f t="shared" si="12"/>
        <v>3.6976744186046533</v>
      </c>
      <c r="AA23" s="78">
        <f>VLOOKUP(B23,EntradaDatos,$AA$115,FALSE)</f>
        <v>20.95</v>
      </c>
      <c r="AB23" s="70" t="str">
        <f t="shared" ca="1" si="13"/>
        <v/>
      </c>
      <c r="AC23" s="75">
        <f t="shared" si="14"/>
        <v>9.5711297071129575E-2</v>
      </c>
      <c r="AD23" s="22">
        <f t="shared" si="15"/>
        <v>0.12092027822364892</v>
      </c>
      <c r="AE23" s="22">
        <f t="shared" si="16"/>
        <v>1.1588604538870007E-2</v>
      </c>
      <c r="AF23" s="4">
        <f t="shared" si="17"/>
        <v>-9.5836733996230342E-2</v>
      </c>
      <c r="AG23" s="3" t="str">
        <f t="shared" si="18"/>
        <v/>
      </c>
      <c r="AH23" s="79" t="str">
        <f t="shared" si="19"/>
        <v/>
      </c>
    </row>
    <row r="24" spans="1:34" x14ac:dyDescent="0.25">
      <c r="A24" s="63">
        <v>8</v>
      </c>
      <c r="B24" s="64" t="s">
        <v>101</v>
      </c>
      <c r="C24" s="65" t="e">
        <f t="shared" si="30"/>
        <v>#N/A</v>
      </c>
      <c r="D24" s="66">
        <f t="shared" si="20"/>
        <v>988.39999999999986</v>
      </c>
      <c r="E24" s="67">
        <v>45986</v>
      </c>
      <c r="F24" s="68" t="s">
        <v>95</v>
      </c>
      <c r="G24" s="69" t="e">
        <f t="shared" si="21"/>
        <v>#N/A</v>
      </c>
      <c r="H24" s="67">
        <v>45980</v>
      </c>
      <c r="I24" s="70">
        <f t="shared" si="23"/>
        <v>-6</v>
      </c>
      <c r="J24" s="71">
        <v>17.649999999999999</v>
      </c>
      <c r="K24" s="72">
        <v>17.100000000000001</v>
      </c>
      <c r="L24" s="73">
        <v>20</v>
      </c>
      <c r="M24" s="83">
        <v>56</v>
      </c>
      <c r="N24" s="67"/>
      <c r="O24" s="70" t="str">
        <f t="shared" si="2"/>
        <v/>
      </c>
      <c r="P24" s="3" t="str">
        <f t="shared" si="3"/>
        <v/>
      </c>
      <c r="Q24" s="75" t="str">
        <f t="shared" si="4"/>
        <v/>
      </c>
      <c r="R24" s="3">
        <f t="shared" si="5"/>
        <v>-30.799999999999841</v>
      </c>
      <c r="S24" s="75">
        <f t="shared" si="6"/>
        <v>-3.1161473087818539E-2</v>
      </c>
      <c r="T24" s="67">
        <v>46013</v>
      </c>
      <c r="U24" s="70">
        <f t="shared" si="7"/>
        <v>33</v>
      </c>
      <c r="V24" s="3">
        <f t="shared" si="8"/>
        <v>132.72000000000006</v>
      </c>
      <c r="W24" s="75">
        <f t="shared" si="9"/>
        <v>0.13427762039660063</v>
      </c>
      <c r="X24" s="76">
        <f t="shared" si="10"/>
        <v>131.60000000000008</v>
      </c>
      <c r="Y24" s="75">
        <f t="shared" si="11"/>
        <v>0.13314447592067999</v>
      </c>
      <c r="Z24" s="77">
        <f t="shared" si="12"/>
        <v>4.2727272727272974</v>
      </c>
      <c r="AA24" s="78">
        <v>20.02</v>
      </c>
      <c r="AB24" s="70" t="str">
        <f t="shared" ca="1" si="13"/>
        <v/>
      </c>
      <c r="AC24" s="75" t="str">
        <f t="shared" si="14"/>
        <v/>
      </c>
      <c r="AD24" s="22" t="str">
        <f t="shared" si="15"/>
        <v/>
      </c>
      <c r="AE24" s="22" t="str">
        <f t="shared" si="16"/>
        <v/>
      </c>
      <c r="AF24" s="4" t="str">
        <f t="shared" si="17"/>
        <v/>
      </c>
      <c r="AG24" s="3" t="str">
        <f t="shared" si="18"/>
        <v/>
      </c>
      <c r="AH24" s="79" t="str">
        <f t="shared" si="19"/>
        <v/>
      </c>
    </row>
    <row r="25" spans="1:34" x14ac:dyDescent="0.25">
      <c r="B25" s="80" t="s">
        <v>73</v>
      </c>
      <c r="C25" s="65">
        <f t="shared" si="30"/>
        <v>0.55000000000000004</v>
      </c>
      <c r="D25" s="66">
        <f t="shared" si="20"/>
        <v>1009.4699999999999</v>
      </c>
      <c r="E25" s="67">
        <v>45987</v>
      </c>
      <c r="F25" s="68" t="s">
        <v>60</v>
      </c>
      <c r="G25" s="69">
        <f t="shared" si="21"/>
        <v>2.011166010282772E-3</v>
      </c>
      <c r="H25" s="67">
        <v>45980</v>
      </c>
      <c r="I25" s="70">
        <f t="shared" si="23"/>
        <v>-7</v>
      </c>
      <c r="J25" s="71">
        <v>13.11</v>
      </c>
      <c r="K25" s="72">
        <v>12.4</v>
      </c>
      <c r="L25" s="73">
        <v>15</v>
      </c>
      <c r="M25" s="83">
        <v>77</v>
      </c>
      <c r="N25" s="67"/>
      <c r="O25" s="70" t="str">
        <f t="shared" si="2"/>
        <v/>
      </c>
      <c r="P25" s="3" t="str">
        <f t="shared" si="3"/>
        <v/>
      </c>
      <c r="Q25" s="75" t="str">
        <f t="shared" si="4"/>
        <v/>
      </c>
      <c r="R25" s="3">
        <f t="shared" si="5"/>
        <v>-54.669999999999931</v>
      </c>
      <c r="S25" s="75">
        <f t="shared" si="6"/>
        <v>-5.4157131960335558E-2</v>
      </c>
      <c r="T25" s="67"/>
      <c r="U25" s="70" t="str">
        <f t="shared" si="7"/>
        <v/>
      </c>
      <c r="V25" s="3" t="str">
        <f t="shared" si="8"/>
        <v/>
      </c>
      <c r="W25" s="75" t="str">
        <f t="shared" si="9"/>
        <v/>
      </c>
      <c r="X25" s="76">
        <f t="shared" si="10"/>
        <v>145.53000000000003</v>
      </c>
      <c r="Y25" s="75">
        <f t="shared" si="11"/>
        <v>0.14416475972540049</v>
      </c>
      <c r="Z25" s="77">
        <f t="shared" si="12"/>
        <v>2.6619718309859195</v>
      </c>
      <c r="AA25" s="78">
        <f>VLOOKUP(B25,EntradaDatos,$AA$115,FALSE)</f>
        <v>14.24</v>
      </c>
      <c r="AB25" s="70">
        <f t="shared" ca="1" si="13"/>
        <v>59</v>
      </c>
      <c r="AC25" s="75" t="str">
        <f t="shared" si="14"/>
        <v/>
      </c>
      <c r="AD25" s="22">
        <f t="shared" si="15"/>
        <v>0.14838709677419359</v>
      </c>
      <c r="AE25" s="22">
        <f t="shared" si="16"/>
        <v>-5.0666666666666638E-2</v>
      </c>
      <c r="AF25" s="4">
        <f t="shared" si="17"/>
        <v>0.34144927536231856</v>
      </c>
      <c r="AG25" s="3">
        <f t="shared" si="18"/>
        <v>87.010000000000048</v>
      </c>
      <c r="AH25" s="79">
        <f t="shared" si="19"/>
        <v>8.619374523264689E-2</v>
      </c>
    </row>
    <row r="26" spans="1:34" x14ac:dyDescent="0.25">
      <c r="A26" s="63">
        <v>16</v>
      </c>
      <c r="B26" s="64" t="s">
        <v>104</v>
      </c>
      <c r="C26" s="65" t="e">
        <f t="shared" si="30"/>
        <v>#N/A</v>
      </c>
      <c r="D26" s="66">
        <f t="shared" si="20"/>
        <v>1007.7600000000001</v>
      </c>
      <c r="E26" s="67">
        <v>46001</v>
      </c>
      <c r="F26" s="68" t="s">
        <v>95</v>
      </c>
      <c r="G26" s="69" t="e">
        <f t="shared" ref="G26" si="34">VLOOKUP(B26,DataTrend,2,FALSE)</f>
        <v>#N/A</v>
      </c>
      <c r="H26" s="67">
        <v>46001</v>
      </c>
      <c r="I26" s="70">
        <f t="shared" si="23"/>
        <v>0</v>
      </c>
      <c r="J26" s="71">
        <v>19.760000000000002</v>
      </c>
      <c r="K26" s="72">
        <v>17.489999999999998</v>
      </c>
      <c r="L26" s="73">
        <v>23.5</v>
      </c>
      <c r="M26" s="83">
        <v>51</v>
      </c>
      <c r="N26" s="67"/>
      <c r="O26" s="70" t="str">
        <f t="shared" si="2"/>
        <v/>
      </c>
      <c r="P26" s="3" t="str">
        <f t="shared" si="3"/>
        <v/>
      </c>
      <c r="Q26" s="75" t="str">
        <f t="shared" si="4"/>
        <v/>
      </c>
      <c r="R26" s="3">
        <f t="shared" si="5"/>
        <v>-115.77000000000015</v>
      </c>
      <c r="S26" s="75">
        <f t="shared" si="6"/>
        <v>-0.1148785425101216</v>
      </c>
      <c r="T26" s="67">
        <v>46030</v>
      </c>
      <c r="U26" s="70">
        <f t="shared" si="7"/>
        <v>29</v>
      </c>
      <c r="V26" s="3">
        <f t="shared" si="8"/>
        <v>199.41</v>
      </c>
      <c r="W26" s="75">
        <f t="shared" si="9"/>
        <v>0.19787449392712547</v>
      </c>
      <c r="X26" s="76">
        <f t="shared" si="10"/>
        <v>190.73999999999992</v>
      </c>
      <c r="Y26" s="75">
        <f t="shared" si="11"/>
        <v>0.18927125506072864</v>
      </c>
      <c r="Z26" s="77">
        <f t="shared" si="12"/>
        <v>1.6475770925110105</v>
      </c>
      <c r="AA26" s="78">
        <v>23.67</v>
      </c>
      <c r="AB26" s="70" t="str">
        <f t="shared" ca="1" si="13"/>
        <v/>
      </c>
      <c r="AC26" s="75" t="str">
        <f t="shared" si="14"/>
        <v/>
      </c>
      <c r="AD26" s="22" t="str">
        <f t="shared" si="15"/>
        <v/>
      </c>
      <c r="AE26" s="22" t="str">
        <f t="shared" si="16"/>
        <v/>
      </c>
      <c r="AF26" s="4" t="str">
        <f t="shared" si="17"/>
        <v/>
      </c>
      <c r="AG26" s="3" t="str">
        <f t="shared" si="18"/>
        <v/>
      </c>
      <c r="AH26" s="79" t="str">
        <f t="shared" si="19"/>
        <v/>
      </c>
    </row>
    <row r="27" spans="1:34" x14ac:dyDescent="0.25">
      <c r="B27" s="64" t="s">
        <v>58</v>
      </c>
      <c r="C27" s="65">
        <f t="shared" si="30"/>
        <v>0.5</v>
      </c>
      <c r="D27" s="66">
        <f t="shared" si="20"/>
        <v>1024.5899999999999</v>
      </c>
      <c r="E27" s="67">
        <v>46033</v>
      </c>
      <c r="F27" s="68" t="s">
        <v>1</v>
      </c>
      <c r="G27" s="69">
        <f t="shared" si="21"/>
        <v>-1.7927250970694475E-3</v>
      </c>
      <c r="H27" s="81"/>
      <c r="I27" s="70" t="str">
        <f t="shared" si="23"/>
        <v/>
      </c>
      <c r="J27" s="71">
        <v>20.09</v>
      </c>
      <c r="K27" s="72">
        <v>19.27</v>
      </c>
      <c r="L27" s="73">
        <v>23.5</v>
      </c>
      <c r="M27" s="83">
        <v>51</v>
      </c>
      <c r="N27" s="67"/>
      <c r="O27" s="70" t="str">
        <f t="shared" si="2"/>
        <v/>
      </c>
      <c r="P27" s="3" t="str">
        <f t="shared" si="3"/>
        <v/>
      </c>
      <c r="Q27" s="75" t="str">
        <f t="shared" si="4"/>
        <v/>
      </c>
      <c r="R27" s="3">
        <f t="shared" si="5"/>
        <v>-41.820000000000014</v>
      </c>
      <c r="S27" s="75">
        <f t="shared" si="6"/>
        <v>-4.0816326530612262E-2</v>
      </c>
      <c r="T27" s="67"/>
      <c r="U27" s="70" t="str">
        <f t="shared" si="7"/>
        <v/>
      </c>
      <c r="V27" s="3" t="str">
        <f t="shared" si="8"/>
        <v/>
      </c>
      <c r="W27" s="75" t="str">
        <f t="shared" si="9"/>
        <v/>
      </c>
      <c r="X27" s="76">
        <f t="shared" si="10"/>
        <v>173.91</v>
      </c>
      <c r="Y27" s="75">
        <f t="shared" si="11"/>
        <v>0.16973618715778996</v>
      </c>
      <c r="Z27" s="77">
        <f t="shared" si="12"/>
        <v>4.1585365853658525</v>
      </c>
      <c r="AA27" s="78">
        <f>VLOOKUP(B27,EntradaDatos,$AA$115,FALSE)</f>
        <v>28.1</v>
      </c>
      <c r="AB27" s="70" t="str">
        <f t="shared" ca="1" si="13"/>
        <v/>
      </c>
      <c r="AC27" s="75">
        <f t="shared" si="14"/>
        <v>0.39870582379293196</v>
      </c>
      <c r="AD27" s="22">
        <f t="shared" si="15"/>
        <v>0.45822522055007786</v>
      </c>
      <c r="AE27" s="22">
        <f t="shared" si="16"/>
        <v>0.19574468085106389</v>
      </c>
      <c r="AF27" s="4">
        <f t="shared" si="17"/>
        <v>-0.42718006795016999</v>
      </c>
      <c r="AG27" s="3" t="str">
        <f t="shared" si="18"/>
        <v/>
      </c>
      <c r="AH27" s="79" t="str">
        <f t="shared" si="19"/>
        <v/>
      </c>
    </row>
    <row r="28" spans="1:34" x14ac:dyDescent="0.25">
      <c r="B28" s="80" t="s">
        <v>32</v>
      </c>
      <c r="C28" s="65">
        <f t="shared" si="30"/>
        <v>0.55000000000000004</v>
      </c>
      <c r="D28" s="66">
        <f t="shared" si="20"/>
        <v>997.375</v>
      </c>
      <c r="E28" s="67">
        <v>46034</v>
      </c>
      <c r="F28" s="68" t="s">
        <v>1</v>
      </c>
      <c r="G28" s="69">
        <f t="shared" si="21"/>
        <v>1.749251172312749E-3</v>
      </c>
      <c r="H28" s="82"/>
      <c r="I28" s="70" t="str">
        <f t="shared" si="23"/>
        <v/>
      </c>
      <c r="J28" s="71">
        <v>9.875</v>
      </c>
      <c r="K28" s="72">
        <v>9.6519999999999992</v>
      </c>
      <c r="L28" s="73">
        <v>10.66</v>
      </c>
      <c r="M28" s="83">
        <v>101</v>
      </c>
      <c r="N28" s="67"/>
      <c r="O28" s="70" t="str">
        <f t="shared" si="2"/>
        <v/>
      </c>
      <c r="P28" s="3" t="str">
        <f t="shared" si="3"/>
        <v/>
      </c>
      <c r="Q28" s="75" t="str">
        <f t="shared" si="4"/>
        <v/>
      </c>
      <c r="R28" s="3">
        <f t="shared" si="5"/>
        <v>-22.523000000000074</v>
      </c>
      <c r="S28" s="75">
        <f t="shared" si="6"/>
        <v>-2.2582278481012734E-2</v>
      </c>
      <c r="T28" s="67"/>
      <c r="U28" s="70" t="str">
        <f t="shared" si="7"/>
        <v/>
      </c>
      <c r="V28" s="3" t="str">
        <f t="shared" si="8"/>
        <v/>
      </c>
      <c r="W28" s="75" t="str">
        <f t="shared" si="9"/>
        <v/>
      </c>
      <c r="X28" s="76">
        <f t="shared" si="10"/>
        <v>79.285000000000011</v>
      </c>
      <c r="Y28" s="75">
        <f t="shared" si="11"/>
        <v>7.9493670886075965E-2</v>
      </c>
      <c r="Z28" s="77">
        <f t="shared" si="12"/>
        <v>3.5201793721972985</v>
      </c>
      <c r="AA28" s="78">
        <f>VLOOKUP(B28,EntradaDatos,$AA$115,FALSE)</f>
        <v>10.71</v>
      </c>
      <c r="AB28" s="70" t="str">
        <f t="shared" ca="1" si="13"/>
        <v/>
      </c>
      <c r="AC28" s="75">
        <f t="shared" si="14"/>
        <v>8.4556962025316595E-2</v>
      </c>
      <c r="AD28" s="22">
        <f t="shared" si="15"/>
        <v>0.10961458765022813</v>
      </c>
      <c r="AE28" s="22">
        <f t="shared" si="16"/>
        <v>4.6904315196998336E-3</v>
      </c>
      <c r="AF28" s="4">
        <f t="shared" si="17"/>
        <v>-4.2790212692006342E-2</v>
      </c>
      <c r="AG28" s="3" t="str">
        <f t="shared" si="18"/>
        <v/>
      </c>
      <c r="AH28" s="79" t="str">
        <f t="shared" si="19"/>
        <v/>
      </c>
    </row>
    <row r="29" spans="1:34" x14ac:dyDescent="0.25">
      <c r="A29" s="63">
        <v>2</v>
      </c>
      <c r="B29" s="84" t="s">
        <v>113</v>
      </c>
      <c r="C29" s="65" t="e">
        <f t="shared" si="30"/>
        <v>#N/A</v>
      </c>
      <c r="D29" s="66">
        <f t="shared" si="20"/>
        <v>994.33800000000008</v>
      </c>
      <c r="E29" s="67">
        <v>45984</v>
      </c>
      <c r="F29" s="68" t="s">
        <v>95</v>
      </c>
      <c r="G29" s="69" t="e">
        <f t="shared" ref="G29:G31" si="35">VLOOKUP(B29,DataTrend,2,FALSE)</f>
        <v>#N/A</v>
      </c>
      <c r="H29" s="67">
        <v>45979</v>
      </c>
      <c r="I29" s="70">
        <f t="shared" si="23"/>
        <v>-5</v>
      </c>
      <c r="J29" s="71">
        <v>0.66600000000000004</v>
      </c>
      <c r="K29" s="72">
        <v>0.62</v>
      </c>
      <c r="L29" s="73">
        <v>0.82</v>
      </c>
      <c r="M29" s="83">
        <v>1493</v>
      </c>
      <c r="N29" s="67">
        <v>45999</v>
      </c>
      <c r="O29" s="70">
        <f t="shared" si="2"/>
        <v>20</v>
      </c>
      <c r="P29" s="3">
        <f t="shared" si="3"/>
        <v>-68.678000000000054</v>
      </c>
      <c r="Q29" s="75">
        <f t="shared" si="4"/>
        <v>-6.9069069069069122E-2</v>
      </c>
      <c r="R29" s="3">
        <f t="shared" si="5"/>
        <v>-68.678000000000054</v>
      </c>
      <c r="S29" s="75">
        <f t="shared" si="6"/>
        <v>-6.9069069069069122E-2</v>
      </c>
      <c r="T29" s="67"/>
      <c r="U29" s="70" t="str">
        <f t="shared" si="7"/>
        <v/>
      </c>
      <c r="V29" s="3" t="str">
        <f t="shared" si="8"/>
        <v/>
      </c>
      <c r="W29" s="75" t="str">
        <f t="shared" si="9"/>
        <v/>
      </c>
      <c r="X29" s="76">
        <f t="shared" si="10"/>
        <v>229.92199999999988</v>
      </c>
      <c r="Y29" s="75">
        <f t="shared" si="11"/>
        <v>0.2312312312312311</v>
      </c>
      <c r="Z29" s="77">
        <f t="shared" si="12"/>
        <v>3.3478260869565175</v>
      </c>
      <c r="AA29" s="78">
        <v>0.62</v>
      </c>
      <c r="AB29" s="70" t="str">
        <f t="shared" ca="1" si="13"/>
        <v/>
      </c>
      <c r="AC29" s="75" t="str">
        <f t="shared" si="14"/>
        <v/>
      </c>
      <c r="AD29" s="22" t="str">
        <f t="shared" si="15"/>
        <v/>
      </c>
      <c r="AE29" s="22" t="str">
        <f t="shared" si="16"/>
        <v/>
      </c>
      <c r="AF29" s="4" t="str">
        <f t="shared" si="17"/>
        <v/>
      </c>
      <c r="AG29" s="3" t="str">
        <f t="shared" si="18"/>
        <v/>
      </c>
      <c r="AH29" s="79" t="str">
        <f t="shared" si="19"/>
        <v/>
      </c>
    </row>
    <row r="30" spans="1:34" x14ac:dyDescent="0.25">
      <c r="A30" s="63">
        <v>23</v>
      </c>
      <c r="B30" s="84" t="s">
        <v>130</v>
      </c>
      <c r="C30" s="65" t="e">
        <f t="shared" ref="C30:C31" si="36">VLOOKUP(B30,Probabilidad,$C$115,FALSE)</f>
        <v>#N/A</v>
      </c>
      <c r="D30" s="66">
        <f t="shared" si="20"/>
        <v>955.52</v>
      </c>
      <c r="E30" s="67">
        <v>46033</v>
      </c>
      <c r="F30" s="68" t="s">
        <v>95</v>
      </c>
      <c r="G30" s="69" t="e">
        <f t="shared" si="35"/>
        <v>#N/A</v>
      </c>
      <c r="H30" s="67">
        <v>46033</v>
      </c>
      <c r="I30" s="70">
        <f t="shared" si="23"/>
        <v>0</v>
      </c>
      <c r="J30" s="71">
        <v>0.64</v>
      </c>
      <c r="K30" s="72">
        <v>0.63600000000000001</v>
      </c>
      <c r="L30" s="73">
        <v>0.71699999999999997</v>
      </c>
      <c r="M30" s="83">
        <v>1493</v>
      </c>
      <c r="N30" s="67">
        <v>46034</v>
      </c>
      <c r="O30" s="70">
        <f t="shared" si="2"/>
        <v>1</v>
      </c>
      <c r="P30" s="3">
        <f t="shared" si="3"/>
        <v>-7.465000000000007</v>
      </c>
      <c r="Q30" s="75">
        <f t="shared" si="4"/>
        <v>-7.8125000000000069E-3</v>
      </c>
      <c r="R30" s="3">
        <f t="shared" si="5"/>
        <v>-5.9720000000000049</v>
      </c>
      <c r="S30" s="75">
        <f t="shared" si="6"/>
        <v>-6.2500000000000056E-3</v>
      </c>
      <c r="T30" s="67"/>
      <c r="U30" s="70" t="str">
        <f t="shared" si="7"/>
        <v/>
      </c>
      <c r="V30" s="3" t="str">
        <f t="shared" si="8"/>
        <v/>
      </c>
      <c r="W30" s="75" t="str">
        <f t="shared" si="9"/>
        <v/>
      </c>
      <c r="X30" s="76">
        <f t="shared" si="10"/>
        <v>114.96099999999994</v>
      </c>
      <c r="Y30" s="75">
        <f t="shared" si="11"/>
        <v>0.12031249999999995</v>
      </c>
      <c r="Z30" s="77">
        <f t="shared" si="12"/>
        <v>19.249999999999975</v>
      </c>
      <c r="AA30" s="78">
        <v>0.63500000000000001</v>
      </c>
      <c r="AB30" s="70" t="str">
        <f t="shared" ca="1" si="13"/>
        <v/>
      </c>
      <c r="AC30" s="75" t="str">
        <f t="shared" si="14"/>
        <v/>
      </c>
      <c r="AD30" s="22" t="str">
        <f t="shared" si="15"/>
        <v/>
      </c>
      <c r="AE30" s="22" t="str">
        <f t="shared" si="16"/>
        <v/>
      </c>
      <c r="AF30" s="4" t="str">
        <f t="shared" si="17"/>
        <v/>
      </c>
      <c r="AG30" s="3" t="str">
        <f t="shared" si="18"/>
        <v/>
      </c>
      <c r="AH30" s="79" t="str">
        <f t="shared" si="19"/>
        <v/>
      </c>
    </row>
    <row r="31" spans="1:34" x14ac:dyDescent="0.25">
      <c r="A31" s="63">
        <v>26</v>
      </c>
      <c r="B31" s="84" t="s">
        <v>131</v>
      </c>
      <c r="C31" s="65" t="e">
        <f t="shared" si="36"/>
        <v>#N/A</v>
      </c>
      <c r="D31" s="66">
        <f t="shared" si="20"/>
        <v>946.56200000000001</v>
      </c>
      <c r="E31" s="67">
        <v>46034</v>
      </c>
      <c r="F31" s="68" t="s">
        <v>95</v>
      </c>
      <c r="G31" s="69" t="e">
        <f t="shared" si="35"/>
        <v>#N/A</v>
      </c>
      <c r="H31" s="67">
        <v>46034</v>
      </c>
      <c r="I31" s="70">
        <f t="shared" si="23"/>
        <v>0</v>
      </c>
      <c r="J31" s="71">
        <v>0.63400000000000001</v>
      </c>
      <c r="K31" s="72">
        <v>0.61499999999999999</v>
      </c>
      <c r="L31" s="73">
        <v>0.71699999999999997</v>
      </c>
      <c r="M31" s="83">
        <v>1493</v>
      </c>
      <c r="N31" s="67">
        <v>46035</v>
      </c>
      <c r="O31" s="70">
        <f t="shared" si="2"/>
        <v>1</v>
      </c>
      <c r="P31" s="3">
        <f t="shared" si="3"/>
        <v>-32.846000000000032</v>
      </c>
      <c r="Q31" s="75">
        <f t="shared" si="4"/>
        <v>-3.4700315457413283E-2</v>
      </c>
      <c r="R31" s="3">
        <f t="shared" si="5"/>
        <v>-28.367000000000026</v>
      </c>
      <c r="S31" s="75">
        <f t="shared" si="6"/>
        <v>-2.9968454258675104E-2</v>
      </c>
      <c r="T31" s="67"/>
      <c r="U31" s="70" t="str">
        <f t="shared" si="7"/>
        <v/>
      </c>
      <c r="V31" s="3" t="str">
        <f t="shared" si="8"/>
        <v/>
      </c>
      <c r="W31" s="75" t="str">
        <f t="shared" si="9"/>
        <v/>
      </c>
      <c r="X31" s="76">
        <f t="shared" si="10"/>
        <v>123.91899999999994</v>
      </c>
      <c r="Y31" s="75">
        <f t="shared" si="11"/>
        <v>0.13091482649842265</v>
      </c>
      <c r="Z31" s="77">
        <f t="shared" si="12"/>
        <v>4.3684210526315725</v>
      </c>
      <c r="AA31" s="78">
        <v>0.61199999999999999</v>
      </c>
      <c r="AB31" s="70" t="str">
        <f t="shared" ca="1" si="13"/>
        <v/>
      </c>
      <c r="AC31" s="75" t="str">
        <f t="shared" si="14"/>
        <v/>
      </c>
      <c r="AD31" s="22" t="str">
        <f t="shared" si="15"/>
        <v/>
      </c>
      <c r="AE31" s="22" t="str">
        <f t="shared" si="16"/>
        <v/>
      </c>
      <c r="AF31" s="4" t="str">
        <f t="shared" si="17"/>
        <v/>
      </c>
      <c r="AG31" s="3" t="str">
        <f t="shared" si="18"/>
        <v/>
      </c>
      <c r="AH31" s="79" t="str">
        <f t="shared" si="19"/>
        <v/>
      </c>
    </row>
    <row r="32" spans="1:34" x14ac:dyDescent="0.25">
      <c r="B32" s="84" t="s">
        <v>86</v>
      </c>
      <c r="C32" s="65">
        <f t="shared" ref="C32:C38" si="37">VLOOKUP(B32,Probabilidad,$C$115,FALSE)</f>
        <v>0.5</v>
      </c>
      <c r="D32" s="66">
        <f t="shared" si="20"/>
        <v>937.60400000000004</v>
      </c>
      <c r="E32" s="67">
        <v>46035</v>
      </c>
      <c r="F32" s="68" t="s">
        <v>60</v>
      </c>
      <c r="G32" s="69">
        <f t="shared" si="21"/>
        <v>-6.2483998975934709E-3</v>
      </c>
      <c r="H32" s="67">
        <v>46036</v>
      </c>
      <c r="I32" s="70">
        <f t="shared" si="23"/>
        <v>1</v>
      </c>
      <c r="J32" s="71">
        <v>0.628</v>
      </c>
      <c r="K32" s="72">
        <v>0.58399999999999996</v>
      </c>
      <c r="L32" s="73">
        <v>0.71699999999999997</v>
      </c>
      <c r="M32" s="83">
        <v>1493</v>
      </c>
      <c r="N32" s="67"/>
      <c r="O32" s="70" t="str">
        <f t="shared" si="2"/>
        <v/>
      </c>
      <c r="P32" s="3" t="str">
        <f t="shared" si="3"/>
        <v/>
      </c>
      <c r="Q32" s="75" t="str">
        <f t="shared" si="4"/>
        <v/>
      </c>
      <c r="R32" s="3">
        <f t="shared" si="5"/>
        <v>-65.692000000000064</v>
      </c>
      <c r="S32" s="75">
        <f t="shared" si="6"/>
        <v>-7.0063694267515991E-2</v>
      </c>
      <c r="T32" s="67"/>
      <c r="U32" s="70" t="str">
        <f t="shared" si="7"/>
        <v/>
      </c>
      <c r="V32" s="3" t="str">
        <f t="shared" si="8"/>
        <v/>
      </c>
      <c r="W32" s="75" t="str">
        <f t="shared" si="9"/>
        <v/>
      </c>
      <c r="X32" s="76">
        <f t="shared" si="10"/>
        <v>132.87699999999995</v>
      </c>
      <c r="Y32" s="75">
        <f t="shared" si="11"/>
        <v>0.14171974522292988</v>
      </c>
      <c r="Z32" s="77">
        <f t="shared" si="12"/>
        <v>2.0227272727272698</v>
      </c>
      <c r="AA32" s="78">
        <f>VLOOKUP(B32,EntradaDatos,$AA$115,FALSE)</f>
        <v>0.62</v>
      </c>
      <c r="AB32" s="70">
        <f t="shared" ca="1" si="13"/>
        <v>3</v>
      </c>
      <c r="AC32" s="75" t="str">
        <f t="shared" si="14"/>
        <v/>
      </c>
      <c r="AD32" s="22">
        <f t="shared" si="15"/>
        <v>6.164383561643838E-2</v>
      </c>
      <c r="AE32" s="22">
        <f t="shared" si="16"/>
        <v>-0.13528591352859132</v>
      </c>
      <c r="AF32" s="4">
        <f t="shared" si="17"/>
        <v>2.1946381527971472</v>
      </c>
      <c r="AG32" s="3">
        <f t="shared" si="18"/>
        <v>-11.943999999999997</v>
      </c>
      <c r="AH32" s="79">
        <f t="shared" si="19"/>
        <v>-1.2738853503184711E-2</v>
      </c>
    </row>
    <row r="33" spans="1:34" x14ac:dyDescent="0.25">
      <c r="B33" s="80" t="s">
        <v>14</v>
      </c>
      <c r="C33" s="65">
        <f t="shared" si="37"/>
        <v>0.5</v>
      </c>
      <c r="D33" s="66">
        <f t="shared" si="20"/>
        <v>997.55000000000007</v>
      </c>
      <c r="E33" s="67">
        <v>46024</v>
      </c>
      <c r="F33" s="68" t="s">
        <v>1</v>
      </c>
      <c r="G33" s="69">
        <f t="shared" ref="G33:G35" si="38">VLOOKUP(B33,DataTrend,2,FALSE)</f>
        <v>-4.1363288551622187E-3</v>
      </c>
      <c r="H33" s="82"/>
      <c r="I33" s="70" t="str">
        <f t="shared" si="23"/>
        <v/>
      </c>
      <c r="J33" s="71">
        <v>14.05</v>
      </c>
      <c r="K33" s="72">
        <v>13.45</v>
      </c>
      <c r="L33" s="73">
        <v>15.4</v>
      </c>
      <c r="M33" s="83">
        <v>71</v>
      </c>
      <c r="N33" s="67"/>
      <c r="O33" s="70" t="str">
        <f t="shared" si="2"/>
        <v/>
      </c>
      <c r="P33" s="3" t="str">
        <f t="shared" si="3"/>
        <v/>
      </c>
      <c r="Q33" s="75" t="str">
        <f t="shared" si="4"/>
        <v/>
      </c>
      <c r="R33" s="3">
        <f t="shared" si="5"/>
        <v>-42.600000000000101</v>
      </c>
      <c r="S33" s="75">
        <f t="shared" si="6"/>
        <v>-4.2704626334519671E-2</v>
      </c>
      <c r="T33" s="67"/>
      <c r="U33" s="70" t="str">
        <f t="shared" si="7"/>
        <v/>
      </c>
      <c r="V33" s="3" t="str">
        <f t="shared" si="8"/>
        <v/>
      </c>
      <c r="W33" s="75" t="str">
        <f t="shared" si="9"/>
        <v/>
      </c>
      <c r="X33" s="76">
        <f t="shared" si="10"/>
        <v>95.84999999999998</v>
      </c>
      <c r="Y33" s="75">
        <f t="shared" si="11"/>
        <v>9.6085409252669007E-2</v>
      </c>
      <c r="Z33" s="77">
        <f t="shared" si="12"/>
        <v>2.2499999999999942</v>
      </c>
      <c r="AA33" s="78">
        <f>VLOOKUP(B33,EntradaDatos,$AA$115,FALSE)</f>
        <v>13.98</v>
      </c>
      <c r="AB33" s="70" t="str">
        <f t="shared" ca="1" si="13"/>
        <v/>
      </c>
      <c r="AC33" s="75">
        <f t="shared" si="14"/>
        <v>-4.982206405694023E-3</v>
      </c>
      <c r="AD33" s="22">
        <f t="shared" si="15"/>
        <v>3.9405204460966736E-2</v>
      </c>
      <c r="AE33" s="22">
        <f t="shared" si="16"/>
        <v>-9.2207792207792183E-2</v>
      </c>
      <c r="AF33" s="4">
        <f t="shared" si="17"/>
        <v>2.3399901984807525</v>
      </c>
      <c r="AG33" s="3" t="str">
        <f t="shared" si="18"/>
        <v/>
      </c>
      <c r="AH33" s="79" t="str">
        <f t="shared" si="19"/>
        <v/>
      </c>
    </row>
    <row r="34" spans="1:34" x14ac:dyDescent="0.25">
      <c r="A34" s="63">
        <v>12</v>
      </c>
      <c r="B34" s="84" t="s">
        <v>118</v>
      </c>
      <c r="C34" s="65" t="e">
        <f t="shared" si="37"/>
        <v>#N/A</v>
      </c>
      <c r="D34" s="66">
        <f t="shared" si="20"/>
        <v>959.36</v>
      </c>
      <c r="E34" s="67">
        <v>46021</v>
      </c>
      <c r="F34" s="68" t="s">
        <v>95</v>
      </c>
      <c r="G34" s="69" t="e">
        <f t="shared" si="38"/>
        <v>#N/A</v>
      </c>
      <c r="H34" s="67">
        <v>46021</v>
      </c>
      <c r="I34" s="70">
        <f t="shared" si="23"/>
        <v>0</v>
      </c>
      <c r="J34" s="71">
        <v>479.68</v>
      </c>
      <c r="K34" s="72">
        <v>461.66</v>
      </c>
      <c r="L34" s="73">
        <v>567.71</v>
      </c>
      <c r="M34" s="83">
        <v>2</v>
      </c>
      <c r="N34" s="67">
        <v>46024</v>
      </c>
      <c r="O34" s="70">
        <f t="shared" si="2"/>
        <v>3</v>
      </c>
      <c r="P34" s="3">
        <f t="shared" si="3"/>
        <v>-36.620000000000005</v>
      </c>
      <c r="Q34" s="75">
        <f t="shared" si="4"/>
        <v>-3.8171280853902603E-2</v>
      </c>
      <c r="R34" s="3">
        <f t="shared" si="5"/>
        <v>-36.039999999999964</v>
      </c>
      <c r="S34" s="75">
        <f t="shared" si="6"/>
        <v>-3.7566711140760468E-2</v>
      </c>
      <c r="T34" s="67"/>
      <c r="U34" s="70" t="str">
        <f t="shared" si="7"/>
        <v/>
      </c>
      <c r="V34" s="3" t="str">
        <f t="shared" si="8"/>
        <v/>
      </c>
      <c r="W34" s="75" t="str">
        <f t="shared" si="9"/>
        <v/>
      </c>
      <c r="X34" s="76">
        <f t="shared" si="10"/>
        <v>176.06000000000006</v>
      </c>
      <c r="Y34" s="75">
        <f t="shared" si="11"/>
        <v>0.1835181787858573</v>
      </c>
      <c r="Z34" s="77">
        <f t="shared" si="12"/>
        <v>4.8851276359600506</v>
      </c>
      <c r="AA34" s="78">
        <v>461.37</v>
      </c>
      <c r="AB34" s="70" t="str">
        <f t="shared" ca="1" si="13"/>
        <v/>
      </c>
      <c r="AC34" s="75" t="str">
        <f t="shared" si="14"/>
        <v/>
      </c>
      <c r="AD34" s="22" t="str">
        <f t="shared" si="15"/>
        <v/>
      </c>
      <c r="AE34" s="22" t="str">
        <f t="shared" si="16"/>
        <v/>
      </c>
      <c r="AF34" s="4" t="str">
        <f t="shared" si="17"/>
        <v/>
      </c>
      <c r="AG34" s="3" t="str">
        <f t="shared" si="18"/>
        <v/>
      </c>
      <c r="AH34" s="79" t="str">
        <f t="shared" si="19"/>
        <v/>
      </c>
    </row>
    <row r="35" spans="1:34" x14ac:dyDescent="0.25">
      <c r="A35" s="63">
        <v>36</v>
      </c>
      <c r="B35" s="84" t="s">
        <v>132</v>
      </c>
      <c r="C35" s="65" t="e">
        <f t="shared" ref="C35" si="39">VLOOKUP(B35,Probabilidad,$C$115,FALSE)</f>
        <v>#N/A</v>
      </c>
      <c r="D35" s="66">
        <f t="shared" si="20"/>
        <v>924</v>
      </c>
      <c r="E35" s="67">
        <v>46033</v>
      </c>
      <c r="F35" s="68" t="s">
        <v>95</v>
      </c>
      <c r="G35" s="69" t="e">
        <f t="shared" si="38"/>
        <v>#N/A</v>
      </c>
      <c r="H35" s="67">
        <v>46034</v>
      </c>
      <c r="I35" s="70">
        <f t="shared" si="23"/>
        <v>1</v>
      </c>
      <c r="J35" s="71">
        <v>462</v>
      </c>
      <c r="K35" s="72">
        <v>447.95</v>
      </c>
      <c r="L35" s="73">
        <v>556.87</v>
      </c>
      <c r="M35" s="83">
        <v>2</v>
      </c>
      <c r="N35" s="67">
        <v>46038</v>
      </c>
      <c r="O35" s="70">
        <f t="shared" si="2"/>
        <v>4</v>
      </c>
      <c r="P35" s="3">
        <f t="shared" si="3"/>
        <v>-29.559999999999945</v>
      </c>
      <c r="Q35" s="75">
        <f t="shared" si="4"/>
        <v>-3.1991341991341932E-2</v>
      </c>
      <c r="R35" s="3">
        <f t="shared" si="5"/>
        <v>-28.100000000000023</v>
      </c>
      <c r="S35" s="75">
        <f t="shared" si="6"/>
        <v>-3.0411255411255438E-2</v>
      </c>
      <c r="T35" s="67"/>
      <c r="U35" s="70" t="str">
        <f t="shared" si="7"/>
        <v/>
      </c>
      <c r="V35" s="3" t="str">
        <f t="shared" si="8"/>
        <v/>
      </c>
      <c r="W35" s="75" t="str">
        <f t="shared" si="9"/>
        <v/>
      </c>
      <c r="X35" s="76">
        <f t="shared" si="10"/>
        <v>189.74</v>
      </c>
      <c r="Y35" s="75">
        <f t="shared" si="11"/>
        <v>0.20534632034632036</v>
      </c>
      <c r="Z35" s="77">
        <f t="shared" si="12"/>
        <v>6.7523131672597811</v>
      </c>
      <c r="AA35" s="78">
        <v>447.22</v>
      </c>
      <c r="AB35" s="70" t="str">
        <f t="shared" ca="1" si="13"/>
        <v/>
      </c>
      <c r="AC35" s="75" t="str">
        <f t="shared" si="14"/>
        <v/>
      </c>
      <c r="AD35" s="22" t="str">
        <f t="shared" si="15"/>
        <v/>
      </c>
      <c r="AE35" s="22" t="str">
        <f t="shared" si="16"/>
        <v/>
      </c>
      <c r="AF35" s="4" t="str">
        <f t="shared" si="17"/>
        <v/>
      </c>
      <c r="AG35" s="3" t="str">
        <f t="shared" si="18"/>
        <v/>
      </c>
      <c r="AH35" s="79" t="str">
        <f t="shared" si="19"/>
        <v/>
      </c>
    </row>
    <row r="36" spans="1:34" x14ac:dyDescent="0.25">
      <c r="B36" s="84" t="s">
        <v>89</v>
      </c>
      <c r="C36" s="65">
        <f t="shared" si="37"/>
        <v>0.56999999999999995</v>
      </c>
      <c r="D36" s="66">
        <f t="shared" si="20"/>
        <v>895.4</v>
      </c>
      <c r="E36" s="67">
        <v>46038</v>
      </c>
      <c r="F36" s="68" t="s">
        <v>60</v>
      </c>
      <c r="G36" s="69">
        <f t="shared" ref="G36:G37" si="40">VLOOKUP(B36,DataTrend,2,FALSE)</f>
        <v>-4.3649584357347447E-3</v>
      </c>
      <c r="H36" s="67">
        <v>46038</v>
      </c>
      <c r="I36" s="70">
        <f t="shared" si="23"/>
        <v>0</v>
      </c>
      <c r="J36" s="71">
        <v>447.7</v>
      </c>
      <c r="K36" s="72">
        <v>421.79</v>
      </c>
      <c r="L36" s="73">
        <v>550.03</v>
      </c>
      <c r="M36" s="83">
        <v>2</v>
      </c>
      <c r="N36" s="67"/>
      <c r="O36" s="70" t="str">
        <f t="shared" si="2"/>
        <v/>
      </c>
      <c r="P36" s="3" t="str">
        <f t="shared" si="3"/>
        <v/>
      </c>
      <c r="Q36" s="75" t="str">
        <f t="shared" si="4"/>
        <v/>
      </c>
      <c r="R36" s="3">
        <f t="shared" si="5"/>
        <v>-51.819999999999936</v>
      </c>
      <c r="S36" s="75">
        <f t="shared" si="6"/>
        <v>-5.7873576055394164E-2</v>
      </c>
      <c r="T36" s="67"/>
      <c r="U36" s="70" t="str">
        <f t="shared" si="7"/>
        <v/>
      </c>
      <c r="V36" s="3" t="str">
        <f t="shared" si="8"/>
        <v/>
      </c>
      <c r="W36" s="75" t="str">
        <f t="shared" si="9"/>
        <v/>
      </c>
      <c r="X36" s="76">
        <f t="shared" si="10"/>
        <v>204.65999999999997</v>
      </c>
      <c r="Y36" s="75">
        <f t="shared" si="11"/>
        <v>0.22856823765914672</v>
      </c>
      <c r="Z36" s="77">
        <f t="shared" si="12"/>
        <v>3.9494403705133196</v>
      </c>
      <c r="AA36" s="78">
        <f>VLOOKUP(B36,EntradaDatos,$AA$115,FALSE)</f>
        <v>453.88</v>
      </c>
      <c r="AB36" s="70">
        <f t="shared" ca="1" si="13"/>
        <v>1</v>
      </c>
      <c r="AC36" s="75" t="str">
        <f t="shared" si="14"/>
        <v/>
      </c>
      <c r="AD36" s="22">
        <f t="shared" si="15"/>
        <v>7.6080513999857713E-2</v>
      </c>
      <c r="AE36" s="22">
        <f t="shared" si="16"/>
        <v>-0.17480864680108354</v>
      </c>
      <c r="AF36" s="4">
        <f t="shared" si="17"/>
        <v>2.2976796240021522</v>
      </c>
      <c r="AG36" s="3">
        <f t="shared" si="18"/>
        <v>12.36000000000011</v>
      </c>
      <c r="AH36" s="79">
        <f t="shared" si="19"/>
        <v>1.3803886531159382E-2</v>
      </c>
    </row>
    <row r="37" spans="1:34" x14ac:dyDescent="0.25">
      <c r="B37" s="80" t="s">
        <v>53</v>
      </c>
      <c r="C37" s="65">
        <f t="shared" si="37"/>
        <v>0.48</v>
      </c>
      <c r="D37" s="66">
        <f t="shared" si="20"/>
        <v>998.2</v>
      </c>
      <c r="E37" s="67">
        <v>46024</v>
      </c>
      <c r="F37" s="68" t="s">
        <v>1</v>
      </c>
      <c r="G37" s="69">
        <f t="shared" si="40"/>
        <v>1.0826363565578956E-2</v>
      </c>
      <c r="H37" s="82"/>
      <c r="I37" s="70" t="str">
        <f t="shared" si="23"/>
        <v/>
      </c>
      <c r="J37" s="71">
        <v>32.200000000000003</v>
      </c>
      <c r="K37" s="72">
        <v>29.85</v>
      </c>
      <c r="L37" s="73">
        <v>40.5</v>
      </c>
      <c r="M37" s="83">
        <v>31</v>
      </c>
      <c r="N37" s="67"/>
      <c r="O37" s="70" t="str">
        <f t="shared" si="2"/>
        <v/>
      </c>
      <c r="P37" s="3" t="str">
        <f t="shared" si="3"/>
        <v/>
      </c>
      <c r="Q37" s="75" t="str">
        <f t="shared" si="4"/>
        <v/>
      </c>
      <c r="R37" s="3">
        <f t="shared" si="5"/>
        <v>-72.850000000000051</v>
      </c>
      <c r="S37" s="75">
        <f t="shared" si="6"/>
        <v>-7.2981366459627384E-2</v>
      </c>
      <c r="T37" s="67"/>
      <c r="U37" s="70" t="str">
        <f t="shared" si="7"/>
        <v/>
      </c>
      <c r="V37" s="3" t="str">
        <f t="shared" si="8"/>
        <v/>
      </c>
      <c r="W37" s="75" t="str">
        <f t="shared" si="9"/>
        <v/>
      </c>
      <c r="X37" s="76">
        <f t="shared" si="10"/>
        <v>257.2999999999999</v>
      </c>
      <c r="Y37" s="75">
        <f t="shared" si="11"/>
        <v>0.25776397515527938</v>
      </c>
      <c r="Z37" s="77">
        <f t="shared" si="12"/>
        <v>3.5319148936170173</v>
      </c>
      <c r="AA37" s="78">
        <f>VLOOKUP(B37,EntradaDatos,$AA$115,FALSE)</f>
        <v>38.450000000000003</v>
      </c>
      <c r="AB37" s="70" t="str">
        <f t="shared" ca="1" si="13"/>
        <v/>
      </c>
      <c r="AC37" s="75">
        <f t="shared" si="14"/>
        <v>0.19409937888198758</v>
      </c>
      <c r="AD37" s="22">
        <f t="shared" si="15"/>
        <v>0.28810720268006706</v>
      </c>
      <c r="AE37" s="22">
        <f t="shared" si="16"/>
        <v>-5.0617283950617264E-2</v>
      </c>
      <c r="AF37" s="4">
        <f t="shared" si="17"/>
        <v>0.17568906115417732</v>
      </c>
      <c r="AG37" s="3" t="str">
        <f t="shared" si="18"/>
        <v/>
      </c>
      <c r="AH37" s="79" t="str">
        <f t="shared" si="19"/>
        <v/>
      </c>
    </row>
    <row r="38" spans="1:34" x14ac:dyDescent="0.25">
      <c r="B38" s="80" t="s">
        <v>94</v>
      </c>
      <c r="C38" s="65">
        <f t="shared" si="37"/>
        <v>0.56000000000000005</v>
      </c>
      <c r="D38" s="66">
        <f t="shared" si="20"/>
        <v>1018.72</v>
      </c>
      <c r="E38" s="67">
        <v>46032</v>
      </c>
      <c r="F38" s="68" t="s">
        <v>60</v>
      </c>
      <c r="G38" s="69">
        <f t="shared" si="21"/>
        <v>-1.33861334331133E-2</v>
      </c>
      <c r="H38" s="67">
        <v>46034</v>
      </c>
      <c r="I38" s="70">
        <f t="shared" si="23"/>
        <v>2</v>
      </c>
      <c r="J38" s="71">
        <v>127.34</v>
      </c>
      <c r="K38" s="72">
        <v>117.59</v>
      </c>
      <c r="L38" s="73">
        <v>199.01</v>
      </c>
      <c r="M38" s="83">
        <v>8</v>
      </c>
      <c r="N38" s="67"/>
      <c r="O38" s="70" t="str">
        <f t="shared" si="2"/>
        <v/>
      </c>
      <c r="P38" s="3" t="str">
        <f t="shared" si="3"/>
        <v/>
      </c>
      <c r="Q38" s="75" t="str">
        <f t="shared" si="4"/>
        <v/>
      </c>
      <c r="R38" s="3">
        <f t="shared" si="5"/>
        <v>-78</v>
      </c>
      <c r="S38" s="75">
        <f t="shared" si="6"/>
        <v>-7.6566671901994662E-2</v>
      </c>
      <c r="T38" s="67"/>
      <c r="U38" s="70" t="str">
        <f t="shared" si="7"/>
        <v/>
      </c>
      <c r="V38" s="3" t="str">
        <f t="shared" si="8"/>
        <v/>
      </c>
      <c r="W38" s="75" t="str">
        <f t="shared" si="9"/>
        <v/>
      </c>
      <c r="X38" s="76">
        <f t="shared" si="10"/>
        <v>573.3599999999999</v>
      </c>
      <c r="Y38" s="75">
        <f t="shared" si="11"/>
        <v>0.56282393591958524</v>
      </c>
      <c r="Z38" s="77">
        <f t="shared" si="12"/>
        <v>7.3507692307692292</v>
      </c>
      <c r="AA38" s="78">
        <f>VLOOKUP(B38,EntradaDatos,$AA$115,FALSE)</f>
        <v>119.02</v>
      </c>
      <c r="AB38" s="70">
        <f t="shared" ca="1" si="13"/>
        <v>5</v>
      </c>
      <c r="AC38" s="75" t="str">
        <f t="shared" si="14"/>
        <v/>
      </c>
      <c r="AD38" s="22">
        <f t="shared" si="15"/>
        <v>1.2160898035547207E-2</v>
      </c>
      <c r="AE38" s="22">
        <f t="shared" si="16"/>
        <v>-0.40193960102507409</v>
      </c>
      <c r="AF38" s="4">
        <f t="shared" si="17"/>
        <v>33.051802576600416</v>
      </c>
      <c r="AG38" s="3">
        <f t="shared" si="18"/>
        <v>-66.560000000000059</v>
      </c>
      <c r="AH38" s="79">
        <f t="shared" si="19"/>
        <v>-6.533689335636883E-2</v>
      </c>
    </row>
    <row r="39" spans="1:34" x14ac:dyDescent="0.25">
      <c r="A39" s="63">
        <v>25</v>
      </c>
      <c r="B39" s="80" t="s">
        <v>133</v>
      </c>
      <c r="C39" s="65" t="e">
        <f t="shared" ref="C39" si="41">VLOOKUP(B39,Probabilidad,$C$115,FALSE)</f>
        <v>#N/A</v>
      </c>
      <c r="D39" s="66">
        <f t="shared" si="20"/>
        <v>1024.5300119999999</v>
      </c>
      <c r="E39" s="67">
        <v>46010</v>
      </c>
      <c r="F39" s="68" t="s">
        <v>95</v>
      </c>
      <c r="G39" s="69" t="e">
        <f t="shared" si="21"/>
        <v>#N/A</v>
      </c>
      <c r="H39" s="67">
        <v>46030</v>
      </c>
      <c r="I39" s="70">
        <f t="shared" si="23"/>
        <v>20</v>
      </c>
      <c r="J39" s="71">
        <v>31.046364000000001</v>
      </c>
      <c r="K39" s="72">
        <v>30.23</v>
      </c>
      <c r="L39" s="73">
        <v>33.69</v>
      </c>
      <c r="M39" s="83">
        <v>33</v>
      </c>
      <c r="N39" s="67">
        <v>46035</v>
      </c>
      <c r="O39" s="70">
        <f t="shared" si="2"/>
        <v>5</v>
      </c>
      <c r="P39" s="3">
        <f t="shared" si="3"/>
        <v>-27.270012000000055</v>
      </c>
      <c r="Q39" s="75">
        <f t="shared" si="4"/>
        <v>-2.6617094356041232E-2</v>
      </c>
      <c r="R39" s="3">
        <f t="shared" si="5"/>
        <v>-26.940012000000003</v>
      </c>
      <c r="S39" s="75">
        <f t="shared" si="6"/>
        <v>-2.6294995446165616E-2</v>
      </c>
      <c r="T39" s="67"/>
      <c r="U39" s="70" t="str">
        <f t="shared" si="7"/>
        <v/>
      </c>
      <c r="V39" s="3" t="str">
        <f t="shared" si="8"/>
        <v/>
      </c>
      <c r="W39" s="75" t="str">
        <f t="shared" si="9"/>
        <v/>
      </c>
      <c r="X39" s="76">
        <f t="shared" si="10"/>
        <v>87.239987999999911</v>
      </c>
      <c r="Y39" s="75">
        <f t="shared" si="11"/>
        <v>8.5151227370779958E-2</v>
      </c>
      <c r="Z39" s="77">
        <f t="shared" si="12"/>
        <v>3.2383054617793006</v>
      </c>
      <c r="AA39" s="78">
        <v>30.22</v>
      </c>
      <c r="AB39" s="70" t="str">
        <f t="shared" ca="1" si="13"/>
        <v/>
      </c>
      <c r="AC39" s="75" t="str">
        <f t="shared" si="14"/>
        <v/>
      </c>
      <c r="AD39" s="22" t="str">
        <f t="shared" si="15"/>
        <v/>
      </c>
      <c r="AE39" s="22" t="str">
        <f t="shared" si="16"/>
        <v/>
      </c>
      <c r="AF39" s="4" t="str">
        <f t="shared" si="17"/>
        <v/>
      </c>
      <c r="AG39" s="3" t="str">
        <f t="shared" si="18"/>
        <v/>
      </c>
      <c r="AH39" s="79" t="str">
        <f t="shared" si="19"/>
        <v/>
      </c>
    </row>
    <row r="40" spans="1:34" x14ac:dyDescent="0.25">
      <c r="B40" s="80" t="s">
        <v>71</v>
      </c>
      <c r="C40" s="65">
        <f>VLOOKUP(B40,Probabilidad,$C$115,FALSE)</f>
        <v>0.56999999999999995</v>
      </c>
      <c r="D40" s="66">
        <f t="shared" si="20"/>
        <v>993.63</v>
      </c>
      <c r="E40" s="67">
        <v>46035</v>
      </c>
      <c r="F40" s="68" t="s">
        <v>60</v>
      </c>
      <c r="G40" s="69">
        <f t="shared" ref="G40:G42" si="42">VLOOKUP(B40,DataTrend,2,FALSE)</f>
        <v>1.1973051335397501E-3</v>
      </c>
      <c r="H40" s="67">
        <v>46035</v>
      </c>
      <c r="I40" s="70">
        <f t="shared" si="23"/>
        <v>0</v>
      </c>
      <c r="J40" s="71">
        <v>30.11</v>
      </c>
      <c r="K40" s="72">
        <v>29.62</v>
      </c>
      <c r="L40" s="73">
        <v>32.39</v>
      </c>
      <c r="M40" s="83">
        <v>33</v>
      </c>
      <c r="N40" s="67"/>
      <c r="O40" s="70" t="str">
        <f t="shared" si="2"/>
        <v/>
      </c>
      <c r="P40" s="3" t="str">
        <f t="shared" si="3"/>
        <v/>
      </c>
      <c r="Q40" s="75" t="str">
        <f t="shared" si="4"/>
        <v/>
      </c>
      <c r="R40" s="3">
        <f t="shared" si="5"/>
        <v>-16.169999999999948</v>
      </c>
      <c r="S40" s="75">
        <f t="shared" si="6"/>
        <v>-1.6273663234805662E-2</v>
      </c>
      <c r="T40" s="67"/>
      <c r="U40" s="70" t="str">
        <f t="shared" si="7"/>
        <v/>
      </c>
      <c r="V40" s="3" t="str">
        <f t="shared" si="8"/>
        <v/>
      </c>
      <c r="W40" s="75" t="str">
        <f t="shared" si="9"/>
        <v/>
      </c>
      <c r="X40" s="76">
        <f t="shared" si="10"/>
        <v>75.240000000000038</v>
      </c>
      <c r="Y40" s="75">
        <f t="shared" si="11"/>
        <v>7.5722351378279679E-2</v>
      </c>
      <c r="Z40" s="77">
        <f t="shared" si="12"/>
        <v>4.6530612244898135</v>
      </c>
      <c r="AA40" s="78">
        <f>VLOOKUP(B40,EntradaDatos,$AA$115,FALSE)</f>
        <v>30.88</v>
      </c>
      <c r="AB40" s="70">
        <f t="shared" ca="1" si="13"/>
        <v>4</v>
      </c>
      <c r="AC40" s="75" t="str">
        <f t="shared" si="14"/>
        <v/>
      </c>
      <c r="AD40" s="22">
        <f t="shared" si="15"/>
        <v>4.2538825118163315E-2</v>
      </c>
      <c r="AE40" s="22">
        <f t="shared" si="16"/>
        <v>-4.6619326952763274E-2</v>
      </c>
      <c r="AF40" s="4">
        <f t="shared" si="17"/>
        <v>1.0959241780482945</v>
      </c>
      <c r="AG40" s="3">
        <f t="shared" si="18"/>
        <v>25.409999999999922</v>
      </c>
      <c r="AH40" s="79">
        <f t="shared" si="19"/>
        <v>2.5572899368980329E-2</v>
      </c>
    </row>
    <row r="41" spans="1:34" x14ac:dyDescent="0.25">
      <c r="A41" s="63">
        <v>20</v>
      </c>
      <c r="B41" s="84" t="s">
        <v>119</v>
      </c>
      <c r="C41" s="65" t="e">
        <f t="shared" ref="C41:C42" si="43">VLOOKUP(B41,Probabilidad,$C$115,FALSE)</f>
        <v>#N/A</v>
      </c>
      <c r="D41" s="66">
        <f t="shared" si="20"/>
        <v>991.43999999999994</v>
      </c>
      <c r="E41" s="67">
        <v>46029</v>
      </c>
      <c r="F41" s="68" t="s">
        <v>95</v>
      </c>
      <c r="G41" s="69" t="e">
        <f t="shared" si="42"/>
        <v>#N/A</v>
      </c>
      <c r="H41" s="67">
        <v>46030</v>
      </c>
      <c r="I41" s="70">
        <f t="shared" si="23"/>
        <v>1</v>
      </c>
      <c r="J41" s="71">
        <v>18.36</v>
      </c>
      <c r="K41" s="72">
        <v>18.28</v>
      </c>
      <c r="L41" s="73">
        <v>18.84</v>
      </c>
      <c r="M41" s="83">
        <v>54</v>
      </c>
      <c r="N41" s="67">
        <v>46031</v>
      </c>
      <c r="O41" s="70">
        <f t="shared" si="2"/>
        <v>1</v>
      </c>
      <c r="P41" s="3">
        <f t="shared" si="3"/>
        <v>-5.3999999999998849</v>
      </c>
      <c r="Q41" s="75">
        <f t="shared" si="4"/>
        <v>-5.4466230936818013E-3</v>
      </c>
      <c r="R41" s="3">
        <f t="shared" si="5"/>
        <v>-4.3199999999999079</v>
      </c>
      <c r="S41" s="75">
        <f t="shared" si="6"/>
        <v>-4.3572984749454414E-3</v>
      </c>
      <c r="T41" s="67"/>
      <c r="U41" s="70" t="str">
        <f t="shared" si="7"/>
        <v/>
      </c>
      <c r="V41" s="3" t="str">
        <f t="shared" si="8"/>
        <v/>
      </c>
      <c r="W41" s="75" t="str">
        <f t="shared" si="9"/>
        <v/>
      </c>
      <c r="X41" s="76">
        <f t="shared" si="10"/>
        <v>25.920000000000023</v>
      </c>
      <c r="Y41" s="75">
        <f t="shared" si="11"/>
        <v>2.6143790849673228E-2</v>
      </c>
      <c r="Z41" s="77">
        <f t="shared" si="12"/>
        <v>6.0000000000001332</v>
      </c>
      <c r="AA41" s="78">
        <v>18.260000000000002</v>
      </c>
      <c r="AB41" s="70" t="str">
        <f t="shared" ca="1" si="13"/>
        <v/>
      </c>
      <c r="AC41" s="75" t="str">
        <f t="shared" si="14"/>
        <v/>
      </c>
      <c r="AD41" s="22" t="str">
        <f t="shared" si="15"/>
        <v/>
      </c>
      <c r="AE41" s="22" t="str">
        <f t="shared" si="16"/>
        <v/>
      </c>
      <c r="AF41" s="4" t="str">
        <f t="shared" si="17"/>
        <v/>
      </c>
      <c r="AG41" s="3" t="str">
        <f t="shared" si="18"/>
        <v/>
      </c>
      <c r="AH41" s="79" t="str">
        <f t="shared" si="19"/>
        <v/>
      </c>
    </row>
    <row r="42" spans="1:34" x14ac:dyDescent="0.25">
      <c r="A42" s="63">
        <v>28</v>
      </c>
      <c r="B42" s="84" t="s">
        <v>119</v>
      </c>
      <c r="C42" s="65" t="e">
        <f t="shared" si="43"/>
        <v>#N/A</v>
      </c>
      <c r="D42" s="66">
        <f t="shared" si="20"/>
        <v>987.12000000000012</v>
      </c>
      <c r="E42" s="67">
        <v>46033</v>
      </c>
      <c r="F42" s="68" t="s">
        <v>95</v>
      </c>
      <c r="G42" s="69" t="e">
        <f t="shared" si="42"/>
        <v>#N/A</v>
      </c>
      <c r="H42" s="67">
        <v>46034</v>
      </c>
      <c r="I42" s="70">
        <f t="shared" si="23"/>
        <v>1</v>
      </c>
      <c r="J42" s="71">
        <v>18.28</v>
      </c>
      <c r="K42" s="72">
        <v>18.239999999999998</v>
      </c>
      <c r="L42" s="73">
        <v>18.84</v>
      </c>
      <c r="M42" s="83">
        <v>54</v>
      </c>
      <c r="N42" s="67">
        <v>46035</v>
      </c>
      <c r="O42" s="70">
        <f t="shared" si="2"/>
        <v>1</v>
      </c>
      <c r="P42" s="3">
        <f t="shared" si="3"/>
        <v>-3.2400000000001228</v>
      </c>
      <c r="Q42" s="75">
        <f t="shared" si="4"/>
        <v>-3.2822757111598613E-3</v>
      </c>
      <c r="R42" s="3">
        <f t="shared" si="5"/>
        <v>-2.1600000000001458</v>
      </c>
      <c r="S42" s="75">
        <f t="shared" si="6"/>
        <v>-2.1881838074399723E-3</v>
      </c>
      <c r="T42" s="67"/>
      <c r="U42" s="70" t="str">
        <f t="shared" si="7"/>
        <v/>
      </c>
      <c r="V42" s="3" t="str">
        <f t="shared" si="8"/>
        <v/>
      </c>
      <c r="W42" s="75" t="str">
        <f t="shared" si="9"/>
        <v/>
      </c>
      <c r="X42" s="76">
        <f t="shared" si="10"/>
        <v>30.239999999999931</v>
      </c>
      <c r="Y42" s="75">
        <f t="shared" si="11"/>
        <v>3.0634573304157475E-2</v>
      </c>
      <c r="Z42" s="77">
        <f t="shared" si="12"/>
        <v>13.999999999999023</v>
      </c>
      <c r="AA42" s="78">
        <v>18.22</v>
      </c>
      <c r="AB42" s="70" t="str">
        <f t="shared" ca="1" si="13"/>
        <v/>
      </c>
      <c r="AC42" s="75" t="str">
        <f t="shared" si="14"/>
        <v/>
      </c>
      <c r="AD42" s="22" t="str">
        <f t="shared" si="15"/>
        <v/>
      </c>
      <c r="AE42" s="22" t="str">
        <f t="shared" si="16"/>
        <v/>
      </c>
      <c r="AF42" s="4" t="str">
        <f t="shared" si="17"/>
        <v/>
      </c>
      <c r="AG42" s="3" t="str">
        <f t="shared" si="18"/>
        <v/>
      </c>
      <c r="AH42" s="79" t="str">
        <f t="shared" si="19"/>
        <v/>
      </c>
    </row>
    <row r="43" spans="1:34" x14ac:dyDescent="0.25">
      <c r="B43" s="84" t="s">
        <v>69</v>
      </c>
      <c r="C43" s="65">
        <f>VLOOKUP(B43,Probabilidad,$C$115,FALSE)</f>
        <v>0.57999999999999996</v>
      </c>
      <c r="D43" s="66">
        <f t="shared" si="20"/>
        <v>988.2</v>
      </c>
      <c r="E43" s="67">
        <v>46036</v>
      </c>
      <c r="F43" s="68" t="s">
        <v>60</v>
      </c>
      <c r="G43" s="69">
        <f t="shared" si="21"/>
        <v>6.5979119571120122E-4</v>
      </c>
      <c r="H43" s="67">
        <v>46036</v>
      </c>
      <c r="I43" s="70">
        <f t="shared" si="23"/>
        <v>0</v>
      </c>
      <c r="J43" s="71">
        <v>18.3</v>
      </c>
      <c r="K43" s="72">
        <v>18.14</v>
      </c>
      <c r="L43" s="73">
        <v>18.84</v>
      </c>
      <c r="M43" s="83">
        <v>54</v>
      </c>
      <c r="N43" s="67"/>
      <c r="O43" s="70" t="str">
        <f t="shared" si="2"/>
        <v/>
      </c>
      <c r="P43" s="3" t="str">
        <f t="shared" si="3"/>
        <v/>
      </c>
      <c r="Q43" s="75" t="str">
        <f t="shared" si="4"/>
        <v/>
      </c>
      <c r="R43" s="3">
        <f t="shared" si="5"/>
        <v>-8.6400000000000077</v>
      </c>
      <c r="S43" s="75">
        <f t="shared" si="6"/>
        <v>-8.7431693989071108E-3</v>
      </c>
      <c r="T43" s="67"/>
      <c r="U43" s="70" t="str">
        <f t="shared" si="7"/>
        <v/>
      </c>
      <c r="V43" s="3" t="str">
        <f t="shared" si="8"/>
        <v/>
      </c>
      <c r="W43" s="75" t="str">
        <f t="shared" si="9"/>
        <v/>
      </c>
      <c r="X43" s="76">
        <f t="shared" si="10"/>
        <v>29.159999999999954</v>
      </c>
      <c r="Y43" s="75">
        <f t="shared" si="11"/>
        <v>2.9508196721311428E-2</v>
      </c>
      <c r="Z43" s="77">
        <f t="shared" si="12"/>
        <v>3.3749999999999916</v>
      </c>
      <c r="AA43" s="78">
        <f>VLOOKUP(B43,EntradaDatos,$AA$115,FALSE)</f>
        <v>18.399999999999999</v>
      </c>
      <c r="AB43" s="70">
        <f t="shared" ca="1" si="13"/>
        <v>3</v>
      </c>
      <c r="AC43" s="75" t="str">
        <f t="shared" si="14"/>
        <v/>
      </c>
      <c r="AD43" s="22">
        <f t="shared" si="15"/>
        <v>1.4332965821389099E-2</v>
      </c>
      <c r="AE43" s="22">
        <f t="shared" si="16"/>
        <v>-2.3354564755838747E-2</v>
      </c>
      <c r="AF43" s="4">
        <f t="shared" si="17"/>
        <v>1.6294300179650683</v>
      </c>
      <c r="AG43" s="3">
        <f t="shared" si="18"/>
        <v>5.3999999999997872</v>
      </c>
      <c r="AH43" s="79">
        <f t="shared" si="19"/>
        <v>5.4644808743167239E-3</v>
      </c>
    </row>
    <row r="44" spans="1:34" x14ac:dyDescent="0.25">
      <c r="A44" s="63">
        <v>7</v>
      </c>
      <c r="B44" s="84" t="s">
        <v>116</v>
      </c>
      <c r="C44" s="65" t="e">
        <f t="shared" ref="C44" si="44">VLOOKUP(B44,Probabilidad,$C$115,FALSE)</f>
        <v>#N/A</v>
      </c>
      <c r="D44" s="66">
        <f t="shared" si="20"/>
        <v>997.52</v>
      </c>
      <c r="E44" s="67">
        <v>45989</v>
      </c>
      <c r="F44" s="68" t="s">
        <v>95</v>
      </c>
      <c r="G44" s="69" t="e">
        <f t="shared" ref="G44" si="45">VLOOKUP(B44,DataTrend,2,FALSE)</f>
        <v>#N/A</v>
      </c>
      <c r="H44" s="67">
        <v>46007</v>
      </c>
      <c r="I44" s="70">
        <f t="shared" si="23"/>
        <v>18</v>
      </c>
      <c r="J44" s="71">
        <v>13.48</v>
      </c>
      <c r="K44" s="72">
        <v>13.1</v>
      </c>
      <c r="L44" s="73">
        <v>14.65</v>
      </c>
      <c r="M44" s="83">
        <v>74</v>
      </c>
      <c r="N44" s="67">
        <v>46010</v>
      </c>
      <c r="O44" s="70">
        <f t="shared" si="2"/>
        <v>3</v>
      </c>
      <c r="P44" s="3">
        <f t="shared" si="3"/>
        <v>-28.120000000000058</v>
      </c>
      <c r="Q44" s="75">
        <f t="shared" si="4"/>
        <v>-2.8189910979228544E-2</v>
      </c>
      <c r="R44" s="3">
        <f t="shared" si="5"/>
        <v>-28.120000000000058</v>
      </c>
      <c r="S44" s="75">
        <f t="shared" si="6"/>
        <v>-2.8189910979228544E-2</v>
      </c>
      <c r="T44" s="67"/>
      <c r="U44" s="70" t="str">
        <f t="shared" si="7"/>
        <v/>
      </c>
      <c r="V44" s="3" t="str">
        <f t="shared" si="8"/>
        <v/>
      </c>
      <c r="W44" s="75" t="str">
        <f t="shared" si="9"/>
        <v/>
      </c>
      <c r="X44" s="76">
        <f t="shared" si="10"/>
        <v>86.58</v>
      </c>
      <c r="Y44" s="75">
        <f t="shared" si="11"/>
        <v>8.6795252225519287E-2</v>
      </c>
      <c r="Z44" s="77">
        <f t="shared" si="12"/>
        <v>3.0789473684210464</v>
      </c>
      <c r="AA44" s="78">
        <v>13.1</v>
      </c>
      <c r="AB44" s="70" t="str">
        <f t="shared" ca="1" si="13"/>
        <v/>
      </c>
      <c r="AC44" s="75" t="str">
        <f t="shared" si="14"/>
        <v/>
      </c>
      <c r="AD44" s="22" t="str">
        <f t="shared" si="15"/>
        <v/>
      </c>
      <c r="AE44" s="22" t="str">
        <f t="shared" si="16"/>
        <v/>
      </c>
      <c r="AF44" s="4" t="str">
        <f t="shared" si="17"/>
        <v/>
      </c>
      <c r="AG44" s="3" t="str">
        <f t="shared" si="18"/>
        <v/>
      </c>
      <c r="AH44" s="79" t="str">
        <f t="shared" si="19"/>
        <v/>
      </c>
    </row>
    <row r="45" spans="1:34" x14ac:dyDescent="0.25">
      <c r="B45" s="84" t="s">
        <v>68</v>
      </c>
      <c r="C45" s="65">
        <f>VLOOKUP(B45,Probabilidad,$C$115,FALSE)</f>
        <v>0.56999999999999995</v>
      </c>
      <c r="D45" s="66">
        <f t="shared" si="20"/>
        <v>999.73500000000001</v>
      </c>
      <c r="E45" s="67">
        <v>46033</v>
      </c>
      <c r="F45" s="68" t="s">
        <v>60</v>
      </c>
      <c r="G45" s="69">
        <f t="shared" si="21"/>
        <v>1.9389506058974826E-3</v>
      </c>
      <c r="H45" s="67">
        <v>46034</v>
      </c>
      <c r="I45" s="70">
        <f t="shared" si="23"/>
        <v>1</v>
      </c>
      <c r="J45" s="71">
        <v>13.695</v>
      </c>
      <c r="K45" s="72">
        <v>13.36</v>
      </c>
      <c r="L45" s="73">
        <v>14.195</v>
      </c>
      <c r="M45" s="83">
        <v>73</v>
      </c>
      <c r="N45" s="67"/>
      <c r="O45" s="70" t="str">
        <f t="shared" si="2"/>
        <v/>
      </c>
      <c r="P45" s="3" t="str">
        <f t="shared" si="3"/>
        <v/>
      </c>
      <c r="Q45" s="75" t="str">
        <f t="shared" si="4"/>
        <v/>
      </c>
      <c r="R45" s="3">
        <f t="shared" si="5"/>
        <v>-24.455000000000062</v>
      </c>
      <c r="S45" s="75">
        <f t="shared" si="6"/>
        <v>-2.4461482292807656E-2</v>
      </c>
      <c r="T45" s="67"/>
      <c r="U45" s="70" t="str">
        <f t="shared" si="7"/>
        <v/>
      </c>
      <c r="V45" s="3" t="str">
        <f t="shared" si="8"/>
        <v/>
      </c>
      <c r="W45" s="75" t="str">
        <f t="shared" si="9"/>
        <v/>
      </c>
      <c r="X45" s="76">
        <f t="shared" si="10"/>
        <v>36.5</v>
      </c>
      <c r="Y45" s="75">
        <f t="shared" si="11"/>
        <v>3.6509675063891932E-2</v>
      </c>
      <c r="Z45" s="77">
        <f t="shared" si="12"/>
        <v>1.4925373134328319</v>
      </c>
      <c r="AA45" s="78">
        <f>VLOOKUP(B45,EntradaDatos,$AA$115,FALSE)</f>
        <v>13.89</v>
      </c>
      <c r="AB45" s="70">
        <f t="shared" ca="1" si="13"/>
        <v>5</v>
      </c>
      <c r="AC45" s="75" t="str">
        <f t="shared" si="14"/>
        <v/>
      </c>
      <c r="AD45" s="22">
        <f t="shared" si="15"/>
        <v>3.9670658682634752E-2</v>
      </c>
      <c r="AE45" s="22">
        <f t="shared" si="16"/>
        <v>-2.1486438886932024E-2</v>
      </c>
      <c r="AF45" s="4">
        <f t="shared" si="17"/>
        <v>0.54162042175360692</v>
      </c>
      <c r="AG45" s="3">
        <f t="shared" si="18"/>
        <v>14.234999999999996</v>
      </c>
      <c r="AH45" s="79">
        <f t="shared" si="19"/>
        <v>1.4238773274917849E-2</v>
      </c>
    </row>
    <row r="46" spans="1:34" x14ac:dyDescent="0.25">
      <c r="B46" s="80" t="s">
        <v>34</v>
      </c>
      <c r="C46" s="65">
        <f>VLOOKUP(B46,Probabilidad,$C$115,FALSE)</f>
        <v>0.54</v>
      </c>
      <c r="D46" s="66">
        <f t="shared" si="20"/>
        <v>946.14</v>
      </c>
      <c r="E46" s="67">
        <v>46032</v>
      </c>
      <c r="F46" s="68" t="s">
        <v>1</v>
      </c>
      <c r="G46" s="69">
        <f t="shared" ref="G46:G47" si="46">VLOOKUP(B46,DataTrend,2,FALSE)</f>
        <v>9.9568363023864841E-3</v>
      </c>
      <c r="H46" s="82"/>
      <c r="I46" s="70" t="str">
        <f t="shared" si="23"/>
        <v/>
      </c>
      <c r="J46" s="71">
        <v>315.38</v>
      </c>
      <c r="K46" s="72">
        <v>308.60000000000002</v>
      </c>
      <c r="L46" s="73">
        <v>386.23</v>
      </c>
      <c r="M46" s="83">
        <v>3</v>
      </c>
      <c r="N46" s="67"/>
      <c r="O46" s="70" t="str">
        <f t="shared" si="2"/>
        <v/>
      </c>
      <c r="P46" s="3" t="str">
        <f t="shared" si="3"/>
        <v/>
      </c>
      <c r="Q46" s="75" t="str">
        <f t="shared" si="4"/>
        <v/>
      </c>
      <c r="R46" s="3">
        <f t="shared" si="5"/>
        <v>-20.339999999999918</v>
      </c>
      <c r="S46" s="75">
        <f t="shared" si="6"/>
        <v>-2.149787557866692E-2</v>
      </c>
      <c r="T46" s="67"/>
      <c r="U46" s="70" t="str">
        <f t="shared" si="7"/>
        <v/>
      </c>
      <c r="V46" s="3" t="str">
        <f t="shared" si="8"/>
        <v/>
      </c>
      <c r="W46" s="75" t="str">
        <f t="shared" si="9"/>
        <v/>
      </c>
      <c r="X46" s="76">
        <f t="shared" si="10"/>
        <v>212.55000000000007</v>
      </c>
      <c r="Y46" s="75">
        <f t="shared" si="11"/>
        <v>0.22464962901896132</v>
      </c>
      <c r="Z46" s="77">
        <f t="shared" si="12"/>
        <v>10.449852507374677</v>
      </c>
      <c r="AA46" s="78">
        <f>VLOOKUP(B46,EntradaDatos,$AA$115,FALSE)</f>
        <v>343.75</v>
      </c>
      <c r="AB46" s="70" t="str">
        <f t="shared" ca="1" si="13"/>
        <v/>
      </c>
      <c r="AC46" s="75">
        <f t="shared" si="14"/>
        <v>8.9954974950853028E-2</v>
      </c>
      <c r="AD46" s="22">
        <f t="shared" si="15"/>
        <v>0.11390149060272181</v>
      </c>
      <c r="AE46" s="22">
        <f t="shared" si="16"/>
        <v>-0.10998627760660751</v>
      </c>
      <c r="AF46" s="4">
        <f t="shared" si="17"/>
        <v>0.96562632345374466</v>
      </c>
      <c r="AG46" s="3" t="str">
        <f t="shared" si="18"/>
        <v/>
      </c>
      <c r="AH46" s="79" t="str">
        <f t="shared" si="19"/>
        <v/>
      </c>
    </row>
    <row r="47" spans="1:34" x14ac:dyDescent="0.25">
      <c r="A47" s="63">
        <v>9</v>
      </c>
      <c r="B47" s="84" t="s">
        <v>117</v>
      </c>
      <c r="C47" s="65" t="e">
        <f t="shared" ref="C47" si="47">VLOOKUP(B47,Probabilidad,$C$115,FALSE)</f>
        <v>#N/A</v>
      </c>
      <c r="D47" s="66">
        <f t="shared" si="20"/>
        <v>1036.8</v>
      </c>
      <c r="E47" s="67">
        <v>45993</v>
      </c>
      <c r="F47" s="68" t="s">
        <v>95</v>
      </c>
      <c r="G47" s="69" t="e">
        <f t="shared" si="46"/>
        <v>#N/A</v>
      </c>
      <c r="H47" s="67">
        <v>46006</v>
      </c>
      <c r="I47" s="70">
        <f t="shared" si="23"/>
        <v>13</v>
      </c>
      <c r="J47" s="71">
        <v>57.6</v>
      </c>
      <c r="K47" s="72">
        <v>55.3</v>
      </c>
      <c r="L47" s="73">
        <v>59.1</v>
      </c>
      <c r="M47" s="83">
        <v>18</v>
      </c>
      <c r="N47" s="67">
        <v>46014</v>
      </c>
      <c r="O47" s="70">
        <f t="shared" si="2"/>
        <v>8</v>
      </c>
      <c r="P47" s="3">
        <f t="shared" si="3"/>
        <v>-45.719999999999985</v>
      </c>
      <c r="Q47" s="75">
        <f t="shared" si="4"/>
        <v>-4.4097222222222211E-2</v>
      </c>
      <c r="R47" s="3">
        <f t="shared" si="5"/>
        <v>-41.400000000000077</v>
      </c>
      <c r="S47" s="75">
        <f t="shared" si="6"/>
        <v>-3.9930555555555629E-2</v>
      </c>
      <c r="T47" s="67"/>
      <c r="U47" s="70" t="str">
        <f t="shared" si="7"/>
        <v/>
      </c>
      <c r="V47" s="3" t="str">
        <f t="shared" si="8"/>
        <v/>
      </c>
      <c r="W47" s="75" t="str">
        <f t="shared" si="9"/>
        <v/>
      </c>
      <c r="X47" s="76">
        <f t="shared" si="10"/>
        <v>27</v>
      </c>
      <c r="Y47" s="75">
        <f t="shared" si="11"/>
        <v>2.6041666666666668E-2</v>
      </c>
      <c r="Z47" s="77">
        <f t="shared" si="12"/>
        <v>0.65217391304347705</v>
      </c>
      <c r="AA47" s="78">
        <v>55.06</v>
      </c>
      <c r="AB47" s="70" t="str">
        <f t="shared" ca="1" si="13"/>
        <v/>
      </c>
      <c r="AC47" s="75" t="str">
        <f t="shared" si="14"/>
        <v/>
      </c>
      <c r="AD47" s="22" t="str">
        <f t="shared" si="15"/>
        <v/>
      </c>
      <c r="AE47" s="22" t="str">
        <f t="shared" si="16"/>
        <v/>
      </c>
      <c r="AF47" s="4" t="str">
        <f t="shared" si="17"/>
        <v/>
      </c>
      <c r="AG47" s="3" t="str">
        <f t="shared" si="18"/>
        <v/>
      </c>
      <c r="AH47" s="79" t="str">
        <f t="shared" si="19"/>
        <v/>
      </c>
    </row>
    <row r="48" spans="1:34" x14ac:dyDescent="0.25">
      <c r="B48" s="84" t="s">
        <v>67</v>
      </c>
      <c r="C48" s="65">
        <f>VLOOKUP(B48,Probabilidad,$C$115,FALSE)</f>
        <v>0.54</v>
      </c>
      <c r="D48" s="66">
        <f t="shared" si="20"/>
        <v>1022.76</v>
      </c>
      <c r="E48" s="67">
        <v>46033</v>
      </c>
      <c r="F48" s="68" t="s">
        <v>60</v>
      </c>
      <c r="G48" s="69">
        <f t="shared" si="21"/>
        <v>3.8156112267680787E-3</v>
      </c>
      <c r="H48" s="67">
        <v>46034</v>
      </c>
      <c r="I48" s="70">
        <f t="shared" si="23"/>
        <v>1</v>
      </c>
      <c r="J48" s="71">
        <v>56.82</v>
      </c>
      <c r="K48" s="72">
        <v>55.84</v>
      </c>
      <c r="L48" s="73">
        <v>59.1</v>
      </c>
      <c r="M48" s="83">
        <v>18</v>
      </c>
      <c r="N48" s="67"/>
      <c r="O48" s="70" t="str">
        <f t="shared" si="2"/>
        <v/>
      </c>
      <c r="P48" s="3" t="str">
        <f t="shared" si="3"/>
        <v/>
      </c>
      <c r="Q48" s="75" t="str">
        <f t="shared" si="4"/>
        <v/>
      </c>
      <c r="R48" s="3">
        <f t="shared" si="5"/>
        <v>-17.639999999999944</v>
      </c>
      <c r="S48" s="75">
        <f t="shared" si="6"/>
        <v>-1.7247448081661333E-2</v>
      </c>
      <c r="T48" s="67"/>
      <c r="U48" s="70" t="str">
        <f t="shared" si="7"/>
        <v/>
      </c>
      <c r="V48" s="3" t="str">
        <f t="shared" si="8"/>
        <v/>
      </c>
      <c r="W48" s="75" t="str">
        <f t="shared" si="9"/>
        <v/>
      </c>
      <c r="X48" s="76">
        <f t="shared" si="10"/>
        <v>41.04000000000002</v>
      </c>
      <c r="Y48" s="75">
        <f t="shared" si="11"/>
        <v>4.0126715945089778E-2</v>
      </c>
      <c r="Z48" s="77">
        <f t="shared" si="12"/>
        <v>2.3265306122449068</v>
      </c>
      <c r="AA48" s="78">
        <f>VLOOKUP(B48,EntradaDatos,$AA$115,FALSE)</f>
        <v>58.56</v>
      </c>
      <c r="AB48" s="70">
        <f t="shared" ca="1" si="13"/>
        <v>5</v>
      </c>
      <c r="AC48" s="75" t="str">
        <f t="shared" si="14"/>
        <v/>
      </c>
      <c r="AD48" s="22">
        <f t="shared" si="15"/>
        <v>4.871060171919761E-2</v>
      </c>
      <c r="AE48" s="22">
        <f t="shared" si="16"/>
        <v>-9.1370558375634126E-3</v>
      </c>
      <c r="AF48" s="4">
        <f t="shared" si="17"/>
        <v>0.18757838160644927</v>
      </c>
      <c r="AG48" s="3">
        <f t="shared" si="18"/>
        <v>31.319999999999958</v>
      </c>
      <c r="AH48" s="79">
        <f t="shared" si="19"/>
        <v>3.0623020063357931E-2</v>
      </c>
    </row>
    <row r="49" spans="1:34" x14ac:dyDescent="0.25">
      <c r="B49" s="80" t="s">
        <v>33</v>
      </c>
      <c r="C49" s="65">
        <f>VLOOKUP(B49,Probabilidad,$C$115,FALSE)</f>
        <v>0.59</v>
      </c>
      <c r="D49" s="66">
        <f t="shared" si="20"/>
        <v>1011.6299999999999</v>
      </c>
      <c r="E49" s="67">
        <v>46029</v>
      </c>
      <c r="F49" s="68" t="s">
        <v>1</v>
      </c>
      <c r="G49" s="69">
        <f t="shared" ref="G49" si="48">VLOOKUP(B49,DataTrend,2,FALSE)</f>
        <v>5.2352858280799493E-3</v>
      </c>
      <c r="H49" s="82"/>
      <c r="I49" s="70" t="str">
        <f t="shared" si="23"/>
        <v/>
      </c>
      <c r="J49" s="71">
        <v>337.21</v>
      </c>
      <c r="K49" s="72">
        <v>328.81</v>
      </c>
      <c r="L49" s="73">
        <v>361.91</v>
      </c>
      <c r="M49" s="83">
        <v>3</v>
      </c>
      <c r="N49" s="67"/>
      <c r="O49" s="70" t="str">
        <f t="shared" si="2"/>
        <v/>
      </c>
      <c r="P49" s="3" t="str">
        <f t="shared" si="3"/>
        <v/>
      </c>
      <c r="Q49" s="75" t="str">
        <f t="shared" si="4"/>
        <v/>
      </c>
      <c r="R49" s="3">
        <f t="shared" si="5"/>
        <v>-25.199999999999932</v>
      </c>
      <c r="S49" s="75">
        <f t="shared" si="6"/>
        <v>-2.4910293289048303E-2</v>
      </c>
      <c r="T49" s="67"/>
      <c r="U49" s="70" t="str">
        <f t="shared" si="7"/>
        <v/>
      </c>
      <c r="V49" s="3" t="str">
        <f t="shared" si="8"/>
        <v/>
      </c>
      <c r="W49" s="75" t="str">
        <f t="shared" si="9"/>
        <v/>
      </c>
      <c r="X49" s="76">
        <f t="shared" si="10"/>
        <v>74.100000000000136</v>
      </c>
      <c r="Y49" s="75">
        <f t="shared" si="11"/>
        <v>7.3248124314225699E-2</v>
      </c>
      <c r="Z49" s="77">
        <f t="shared" si="12"/>
        <v>2.940476190476204</v>
      </c>
      <c r="AA49" s="78">
        <f>VLOOKUP(B49,EntradaDatos,$AA$115,FALSE)</f>
        <v>367.38</v>
      </c>
      <c r="AB49" s="70" t="str">
        <f t="shared" ca="1" si="13"/>
        <v/>
      </c>
      <c r="AC49" s="75">
        <f t="shared" si="14"/>
        <v>8.9469470063165524E-2</v>
      </c>
      <c r="AD49" s="22">
        <f t="shared" si="15"/>
        <v>0.11730178522551005</v>
      </c>
      <c r="AE49" s="22">
        <f t="shared" si="16"/>
        <v>1.5114254925257642E-2</v>
      </c>
      <c r="AF49" s="4">
        <f t="shared" si="17"/>
        <v>-0.1288493171369969</v>
      </c>
      <c r="AG49" s="3" t="str">
        <f t="shared" si="18"/>
        <v/>
      </c>
      <c r="AH49" s="79" t="str">
        <f t="shared" si="19"/>
        <v/>
      </c>
    </row>
    <row r="50" spans="1:34" x14ac:dyDescent="0.25">
      <c r="B50" s="80" t="s">
        <v>28</v>
      </c>
      <c r="C50" s="65">
        <f>VLOOKUP(B50,Probabilidad,$C$115,FALSE)</f>
        <v>0.64</v>
      </c>
      <c r="D50" s="66">
        <f t="shared" si="20"/>
        <v>937.37999999999988</v>
      </c>
      <c r="E50" s="67">
        <v>46032</v>
      </c>
      <c r="F50" s="68" t="s">
        <v>1</v>
      </c>
      <c r="G50" s="69">
        <f t="shared" si="21"/>
        <v>6.4025706755210804E-5</v>
      </c>
      <c r="H50" s="82"/>
      <c r="I50" s="70" t="str">
        <f t="shared" si="23"/>
        <v/>
      </c>
      <c r="J50" s="71">
        <v>312.45999999999998</v>
      </c>
      <c r="K50" s="72">
        <v>295</v>
      </c>
      <c r="L50" s="73">
        <v>338.51</v>
      </c>
      <c r="M50" s="83">
        <v>3</v>
      </c>
      <c r="N50" s="67"/>
      <c r="O50" s="70" t="str">
        <f t="shared" si="2"/>
        <v/>
      </c>
      <c r="P50" s="3" t="str">
        <f t="shared" si="3"/>
        <v/>
      </c>
      <c r="Q50" s="75" t="str">
        <f t="shared" si="4"/>
        <v/>
      </c>
      <c r="R50" s="3">
        <f t="shared" si="5"/>
        <v>-52.379999999999939</v>
      </c>
      <c r="S50" s="75">
        <f t="shared" si="6"/>
        <v>-5.5879152531523979E-2</v>
      </c>
      <c r="T50" s="67"/>
      <c r="U50" s="70" t="str">
        <f t="shared" si="7"/>
        <v/>
      </c>
      <c r="V50" s="3" t="str">
        <f t="shared" si="8"/>
        <v/>
      </c>
      <c r="W50" s="75" t="str">
        <f t="shared" si="9"/>
        <v/>
      </c>
      <c r="X50" s="76">
        <f t="shared" si="10"/>
        <v>78.150000000000034</v>
      </c>
      <c r="Y50" s="75">
        <f t="shared" si="11"/>
        <v>8.3370671445945121E-2</v>
      </c>
      <c r="Z50" s="77">
        <f t="shared" si="12"/>
        <v>1.491981672394046</v>
      </c>
      <c r="AA50" s="78">
        <f>VLOOKUP(B50,EntradaDatos,$AA$115,FALSE)</f>
        <v>330.34</v>
      </c>
      <c r="AB50" s="70" t="str">
        <f t="shared" ca="1" si="13"/>
        <v/>
      </c>
      <c r="AC50" s="75">
        <f t="shared" si="14"/>
        <v>5.7223324585546909E-2</v>
      </c>
      <c r="AD50" s="22">
        <f t="shared" si="15"/>
        <v>0.11979661016949139</v>
      </c>
      <c r="AE50" s="22">
        <f t="shared" si="16"/>
        <v>-2.4135180644589527E-2</v>
      </c>
      <c r="AF50" s="4">
        <f t="shared" si="17"/>
        <v>0.20146797651822065</v>
      </c>
      <c r="AG50" s="3" t="str">
        <f t="shared" si="18"/>
        <v/>
      </c>
      <c r="AH50" s="79" t="str">
        <f t="shared" si="19"/>
        <v/>
      </c>
    </row>
    <row r="51" spans="1:34" x14ac:dyDescent="0.25">
      <c r="A51" s="63">
        <v>11</v>
      </c>
      <c r="B51" s="64" t="s">
        <v>102</v>
      </c>
      <c r="C51" s="65" t="e">
        <f t="shared" ref="C51" si="49">VLOOKUP(B51,Probabilidad,$C$115,FALSE)</f>
        <v>#N/A</v>
      </c>
      <c r="D51" s="66">
        <f t="shared" si="20"/>
        <v>954.80000000000007</v>
      </c>
      <c r="E51" s="67">
        <v>45989</v>
      </c>
      <c r="F51" s="68" t="s">
        <v>95</v>
      </c>
      <c r="G51" s="69" t="e">
        <f t="shared" ref="G51" si="50">VLOOKUP(B51,DataTrend,2,FALSE)</f>
        <v>#N/A</v>
      </c>
      <c r="H51" s="67">
        <v>45989</v>
      </c>
      <c r="I51" s="70">
        <f t="shared" si="23"/>
        <v>0</v>
      </c>
      <c r="J51" s="71">
        <v>68.2</v>
      </c>
      <c r="K51" s="72">
        <v>60</v>
      </c>
      <c r="L51" s="73">
        <v>86</v>
      </c>
      <c r="M51" s="83">
        <v>14</v>
      </c>
      <c r="N51" s="67"/>
      <c r="O51" s="70" t="str">
        <f t="shared" si="2"/>
        <v/>
      </c>
      <c r="P51" s="3" t="str">
        <f t="shared" si="3"/>
        <v/>
      </c>
      <c r="Q51" s="75" t="str">
        <f t="shared" si="4"/>
        <v/>
      </c>
      <c r="R51" s="3">
        <f t="shared" si="5"/>
        <v>-114.80000000000004</v>
      </c>
      <c r="S51" s="75">
        <f t="shared" si="6"/>
        <v>-0.12023460410557188</v>
      </c>
      <c r="T51" s="67">
        <v>46015</v>
      </c>
      <c r="U51" s="70">
        <f t="shared" si="7"/>
        <v>26</v>
      </c>
      <c r="V51" s="3">
        <f t="shared" si="8"/>
        <v>249.19999999999996</v>
      </c>
      <c r="W51" s="75">
        <f t="shared" si="9"/>
        <v>0.26099706744868029</v>
      </c>
      <c r="X51" s="76">
        <f t="shared" si="10"/>
        <v>249.19999999999996</v>
      </c>
      <c r="Y51" s="75">
        <f t="shared" si="11"/>
        <v>0.26099706744868029</v>
      </c>
      <c r="Z51" s="77">
        <f t="shared" si="12"/>
        <v>2.170731707317072</v>
      </c>
      <c r="AA51" s="78">
        <v>86</v>
      </c>
      <c r="AB51" s="70" t="str">
        <f t="shared" ca="1" si="13"/>
        <v/>
      </c>
      <c r="AC51" s="75" t="str">
        <f t="shared" si="14"/>
        <v/>
      </c>
      <c r="AD51" s="22" t="str">
        <f t="shared" si="15"/>
        <v/>
      </c>
      <c r="AE51" s="22" t="str">
        <f t="shared" si="16"/>
        <v/>
      </c>
      <c r="AF51" s="4" t="str">
        <f t="shared" si="17"/>
        <v/>
      </c>
      <c r="AG51" s="3" t="str">
        <f t="shared" si="18"/>
        <v/>
      </c>
      <c r="AH51" s="79" t="str">
        <f t="shared" si="19"/>
        <v/>
      </c>
    </row>
    <row r="52" spans="1:34" x14ac:dyDescent="0.25">
      <c r="B52" s="64" t="s">
        <v>44</v>
      </c>
      <c r="C52" s="65">
        <f>VLOOKUP(B52,Probabilidad,$C$115,FALSE)</f>
        <v>0.5</v>
      </c>
      <c r="D52" s="66">
        <f t="shared" si="20"/>
        <v>1115.8</v>
      </c>
      <c r="E52" s="67">
        <v>46033</v>
      </c>
      <c r="F52" s="68" t="s">
        <v>1</v>
      </c>
      <c r="G52" s="69">
        <f t="shared" si="21"/>
        <v>1.7324514068646567E-2</v>
      </c>
      <c r="H52" s="82"/>
      <c r="I52" s="70" t="str">
        <f t="shared" si="23"/>
        <v/>
      </c>
      <c r="J52" s="71">
        <v>79.7</v>
      </c>
      <c r="K52" s="72">
        <v>77.599999999999994</v>
      </c>
      <c r="L52" s="73">
        <v>86</v>
      </c>
      <c r="M52" s="83">
        <v>14</v>
      </c>
      <c r="N52" s="67"/>
      <c r="O52" s="70" t="str">
        <f t="shared" si="2"/>
        <v/>
      </c>
      <c r="P52" s="3" t="str">
        <f t="shared" si="3"/>
        <v/>
      </c>
      <c r="Q52" s="75" t="str">
        <f t="shared" si="4"/>
        <v/>
      </c>
      <c r="R52" s="3">
        <f t="shared" si="5"/>
        <v>-29.400000000000119</v>
      </c>
      <c r="S52" s="75">
        <f t="shared" si="6"/>
        <v>-2.6348808030113031E-2</v>
      </c>
      <c r="T52" s="67"/>
      <c r="U52" s="70" t="str">
        <f t="shared" si="7"/>
        <v/>
      </c>
      <c r="V52" s="3" t="str">
        <f t="shared" si="8"/>
        <v/>
      </c>
      <c r="W52" s="75" t="str">
        <f t="shared" si="9"/>
        <v/>
      </c>
      <c r="X52" s="76">
        <f t="shared" si="10"/>
        <v>88.19999999999996</v>
      </c>
      <c r="Y52" s="75">
        <f t="shared" si="11"/>
        <v>7.9046424090338741E-2</v>
      </c>
      <c r="Z52" s="77">
        <f t="shared" si="12"/>
        <v>2.9999999999999867</v>
      </c>
      <c r="AA52" s="78">
        <f>VLOOKUP(B52,EntradaDatos,$AA$115,FALSE)</f>
        <v>91.5</v>
      </c>
      <c r="AB52" s="70" t="str">
        <f t="shared" ca="1" si="13"/>
        <v/>
      </c>
      <c r="AC52" s="75">
        <f t="shared" si="14"/>
        <v>0.14805520702634878</v>
      </c>
      <c r="AD52" s="22">
        <f t="shared" si="15"/>
        <v>0.17912371134020622</v>
      </c>
      <c r="AE52" s="22">
        <f t="shared" si="16"/>
        <v>6.3953488372092915E-2</v>
      </c>
      <c r="AF52" s="4">
        <f t="shared" si="17"/>
        <v>-0.35703530199096473</v>
      </c>
      <c r="AG52" s="3" t="str">
        <f t="shared" si="18"/>
        <v/>
      </c>
      <c r="AH52" s="79" t="str">
        <f t="shared" si="19"/>
        <v/>
      </c>
    </row>
    <row r="53" spans="1:34" x14ac:dyDescent="0.25">
      <c r="B53" s="80" t="s">
        <v>90</v>
      </c>
      <c r="C53" s="65" t="e">
        <f>VLOOKUP(B53,Probabilidad,$C$115,FALSE)</f>
        <v>#N/A</v>
      </c>
      <c r="D53" s="66">
        <f t="shared" si="20"/>
        <v>1016.95</v>
      </c>
      <c r="E53" s="67">
        <v>46032</v>
      </c>
      <c r="F53" s="68" t="s">
        <v>60</v>
      </c>
      <c r="G53" s="69">
        <f t="shared" si="21"/>
        <v>2.0777945112482542E-3</v>
      </c>
      <c r="H53" s="67">
        <v>46034</v>
      </c>
      <c r="I53" s="70">
        <f t="shared" si="23"/>
        <v>2</v>
      </c>
      <c r="J53" s="71">
        <v>92.45</v>
      </c>
      <c r="K53" s="72">
        <v>79.75</v>
      </c>
      <c r="L53" s="73">
        <v>116.2</v>
      </c>
      <c r="M53" s="83">
        <v>11</v>
      </c>
      <c r="N53" s="67"/>
      <c r="O53" s="70" t="str">
        <f t="shared" si="2"/>
        <v/>
      </c>
      <c r="P53" s="3" t="str">
        <f t="shared" si="3"/>
        <v/>
      </c>
      <c r="Q53" s="75" t="str">
        <f t="shared" si="4"/>
        <v/>
      </c>
      <c r="R53" s="3">
        <f t="shared" si="5"/>
        <v>-139.70000000000005</v>
      </c>
      <c r="S53" s="75">
        <f t="shared" si="6"/>
        <v>-0.13737155219037323</v>
      </c>
      <c r="T53" s="67"/>
      <c r="U53" s="70" t="str">
        <f t="shared" si="7"/>
        <v/>
      </c>
      <c r="V53" s="3" t="str">
        <f t="shared" si="8"/>
        <v/>
      </c>
      <c r="W53" s="75" t="str">
        <f t="shared" si="9"/>
        <v/>
      </c>
      <c r="X53" s="76">
        <f t="shared" si="10"/>
        <v>261.25</v>
      </c>
      <c r="Y53" s="75">
        <f t="shared" si="11"/>
        <v>0.25689561925365062</v>
      </c>
      <c r="Z53" s="77">
        <f t="shared" si="12"/>
        <v>1.8700787401574797</v>
      </c>
      <c r="AA53" s="78">
        <f>VLOOKUP(B53,EntradaDatos,$AA$115,FALSE)</f>
        <v>92.6</v>
      </c>
      <c r="AB53" s="70">
        <f t="shared" ca="1" si="13"/>
        <v>5</v>
      </c>
      <c r="AC53" s="75" t="str">
        <f t="shared" si="14"/>
        <v/>
      </c>
      <c r="AD53" s="22">
        <f t="shared" si="15"/>
        <v>0.16112852664576804</v>
      </c>
      <c r="AE53" s="22">
        <f t="shared" si="16"/>
        <v>-0.20309810671256456</v>
      </c>
      <c r="AF53" s="4">
        <f t="shared" si="17"/>
        <v>1.260472685628562</v>
      </c>
      <c r="AG53" s="3">
        <f t="shared" si="18"/>
        <v>1.6499999999998403</v>
      </c>
      <c r="AH53" s="79">
        <f t="shared" si="19"/>
        <v>1.6224986479176362E-3</v>
      </c>
    </row>
    <row r="54" spans="1:34" x14ac:dyDescent="0.25">
      <c r="B54" s="80" t="s">
        <v>56</v>
      </c>
      <c r="C54" s="65">
        <f t="shared" ref="C54:C93" si="51">VLOOKUP(B54,Probabilidad,$C$115,FALSE)</f>
        <v>0.56000000000000005</v>
      </c>
      <c r="D54" s="66">
        <f t="shared" si="20"/>
        <v>990</v>
      </c>
      <c r="E54" s="67">
        <v>46024</v>
      </c>
      <c r="F54" s="68" t="s">
        <v>1</v>
      </c>
      <c r="G54" s="69">
        <f t="shared" ref="G54:G56" si="52">VLOOKUP(B54,DataTrend,2,FALSE)</f>
        <v>1.6767638003747011E-2</v>
      </c>
      <c r="H54" s="82"/>
      <c r="I54" s="70" t="str">
        <f t="shared" si="23"/>
        <v/>
      </c>
      <c r="J54" s="71">
        <v>330</v>
      </c>
      <c r="K54" s="72">
        <v>305.85000000000002</v>
      </c>
      <c r="L54" s="73">
        <v>375</v>
      </c>
      <c r="M54" s="83">
        <v>3</v>
      </c>
      <c r="N54" s="67"/>
      <c r="O54" s="70" t="str">
        <f t="shared" si="2"/>
        <v/>
      </c>
      <c r="P54" s="3" t="str">
        <f t="shared" si="3"/>
        <v/>
      </c>
      <c r="Q54" s="75" t="str">
        <f t="shared" si="4"/>
        <v/>
      </c>
      <c r="R54" s="3">
        <f t="shared" si="5"/>
        <v>-72.449999999999932</v>
      </c>
      <c r="S54" s="75">
        <f t="shared" si="6"/>
        <v>-7.3181818181818112E-2</v>
      </c>
      <c r="T54" s="67"/>
      <c r="U54" s="70" t="str">
        <f t="shared" si="7"/>
        <v/>
      </c>
      <c r="V54" s="3" t="str">
        <f t="shared" si="8"/>
        <v/>
      </c>
      <c r="W54" s="75" t="str">
        <f t="shared" si="9"/>
        <v/>
      </c>
      <c r="X54" s="76">
        <f t="shared" si="10"/>
        <v>135</v>
      </c>
      <c r="Y54" s="75">
        <f t="shared" si="11"/>
        <v>0.13636363636363635</v>
      </c>
      <c r="Z54" s="77">
        <f t="shared" si="12"/>
        <v>1.8633540372670825</v>
      </c>
      <c r="AA54" s="78">
        <f>VLOOKUP(B54,EntradaDatos,$AA$115,FALSE)</f>
        <v>425.9</v>
      </c>
      <c r="AB54" s="70" t="str">
        <f t="shared" ca="1" si="13"/>
        <v/>
      </c>
      <c r="AC54" s="75">
        <f t="shared" si="14"/>
        <v>0.29060606060606053</v>
      </c>
      <c r="AD54" s="22">
        <f t="shared" si="15"/>
        <v>0.39251266960928533</v>
      </c>
      <c r="AE54" s="22">
        <f t="shared" si="16"/>
        <v>0.13573333333333326</v>
      </c>
      <c r="AF54" s="4">
        <f t="shared" si="17"/>
        <v>-0.34580624739691801</v>
      </c>
      <c r="AG54" s="3" t="str">
        <f t="shared" si="18"/>
        <v/>
      </c>
      <c r="AH54" s="79" t="str">
        <f t="shared" si="19"/>
        <v/>
      </c>
    </row>
    <row r="55" spans="1:34" x14ac:dyDescent="0.25">
      <c r="B55" s="80" t="s">
        <v>21</v>
      </c>
      <c r="C55" s="65">
        <f t="shared" si="51"/>
        <v>0.5</v>
      </c>
      <c r="D55" s="66">
        <f t="shared" si="20"/>
        <v>993.21999999999991</v>
      </c>
      <c r="E55" s="67">
        <v>46026</v>
      </c>
      <c r="F55" s="68" t="s">
        <v>1</v>
      </c>
      <c r="G55" s="69">
        <f t="shared" si="52"/>
        <v>-1.3863111157797815E-3</v>
      </c>
      <c r="H55" s="82"/>
      <c r="I55" s="70" t="str">
        <f t="shared" si="23"/>
        <v/>
      </c>
      <c r="J55" s="71">
        <v>18.739999999999998</v>
      </c>
      <c r="K55" s="72">
        <v>18.14</v>
      </c>
      <c r="L55" s="73">
        <v>21.3</v>
      </c>
      <c r="M55" s="83">
        <v>53</v>
      </c>
      <c r="N55" s="67"/>
      <c r="O55" s="70" t="str">
        <f t="shared" si="2"/>
        <v/>
      </c>
      <c r="P55" s="3" t="str">
        <f t="shared" si="3"/>
        <v/>
      </c>
      <c r="Q55" s="75" t="str">
        <f t="shared" si="4"/>
        <v/>
      </c>
      <c r="R55" s="3">
        <f t="shared" si="5"/>
        <v>-31.799999999999887</v>
      </c>
      <c r="S55" s="75">
        <f t="shared" si="6"/>
        <v>-3.2017075773745886E-2</v>
      </c>
      <c r="T55" s="67"/>
      <c r="U55" s="70" t="str">
        <f t="shared" si="7"/>
        <v/>
      </c>
      <c r="V55" s="3" t="str">
        <f t="shared" si="8"/>
        <v/>
      </c>
      <c r="W55" s="75" t="str">
        <f t="shared" si="9"/>
        <v/>
      </c>
      <c r="X55" s="76">
        <f t="shared" si="10"/>
        <v>135.68000000000012</v>
      </c>
      <c r="Y55" s="75">
        <f t="shared" si="11"/>
        <v>0.13660618996798304</v>
      </c>
      <c r="Z55" s="77">
        <f t="shared" si="12"/>
        <v>4.2666666666666853</v>
      </c>
      <c r="AA55" s="78">
        <f>VLOOKUP(B55,EntradaDatos,$AA$115,FALSE)</f>
        <v>19.36</v>
      </c>
      <c r="AB55" s="70" t="str">
        <f t="shared" ca="1" si="13"/>
        <v/>
      </c>
      <c r="AC55" s="75">
        <f t="shared" si="14"/>
        <v>3.3084311632870955E-2</v>
      </c>
      <c r="AD55" s="22">
        <f t="shared" si="15"/>
        <v>6.725468577728777E-2</v>
      </c>
      <c r="AE55" s="22">
        <f t="shared" si="16"/>
        <v>-9.1079812206572797E-2</v>
      </c>
      <c r="AF55" s="4">
        <f t="shared" si="17"/>
        <v>1.3542522896944511</v>
      </c>
      <c r="AG55" s="3" t="str">
        <f t="shared" si="18"/>
        <v/>
      </c>
      <c r="AH55" s="79" t="str">
        <f t="shared" si="19"/>
        <v/>
      </c>
    </row>
    <row r="56" spans="1:34" x14ac:dyDescent="0.25">
      <c r="A56" s="63">
        <v>21</v>
      </c>
      <c r="B56" s="64" t="s">
        <v>105</v>
      </c>
      <c r="C56" s="65" t="e">
        <f t="shared" ref="C56" si="53">VLOOKUP(B56,Probabilidad,$C$115,FALSE)</f>
        <v>#N/A</v>
      </c>
      <c r="D56" s="66">
        <f t="shared" si="20"/>
        <v>974.35</v>
      </c>
      <c r="E56" s="67">
        <v>46026</v>
      </c>
      <c r="F56" s="68" t="s">
        <v>95</v>
      </c>
      <c r="G56" s="69" t="e">
        <f t="shared" si="52"/>
        <v>#N/A</v>
      </c>
      <c r="H56" s="67">
        <v>46027</v>
      </c>
      <c r="I56" s="70">
        <f t="shared" si="23"/>
        <v>1</v>
      </c>
      <c r="J56" s="71">
        <v>194.87</v>
      </c>
      <c r="K56" s="72">
        <v>192.15</v>
      </c>
      <c r="L56" s="73">
        <v>208.59</v>
      </c>
      <c r="M56" s="83">
        <v>5</v>
      </c>
      <c r="N56" s="67"/>
      <c r="O56" s="70" t="str">
        <f t="shared" si="2"/>
        <v/>
      </c>
      <c r="P56" s="3" t="str">
        <f t="shared" si="3"/>
        <v/>
      </c>
      <c r="Q56" s="75" t="str">
        <f t="shared" si="4"/>
        <v/>
      </c>
      <c r="R56" s="3">
        <f t="shared" si="5"/>
        <v>-13.599999999999994</v>
      </c>
      <c r="S56" s="75">
        <f t="shared" si="6"/>
        <v>-1.3958023297582998E-2</v>
      </c>
      <c r="T56" s="67">
        <v>46031</v>
      </c>
      <c r="U56" s="70">
        <f t="shared" si="7"/>
        <v>4</v>
      </c>
      <c r="V56" s="3">
        <f t="shared" si="8"/>
        <v>68.599999999999994</v>
      </c>
      <c r="W56" s="75">
        <f t="shared" si="9"/>
        <v>7.0405911633396615E-2</v>
      </c>
      <c r="X56" s="76">
        <f t="shared" si="10"/>
        <v>68.599999999999994</v>
      </c>
      <c r="Y56" s="75">
        <f t="shared" si="11"/>
        <v>7.0405911633396615E-2</v>
      </c>
      <c r="Z56" s="77">
        <f t="shared" si="12"/>
        <v>5.0441176470588251</v>
      </c>
      <c r="AA56" s="78">
        <v>208.59</v>
      </c>
      <c r="AB56" s="70" t="str">
        <f t="shared" ca="1" si="13"/>
        <v/>
      </c>
      <c r="AC56" s="75" t="str">
        <f t="shared" si="14"/>
        <v/>
      </c>
      <c r="AD56" s="22" t="str">
        <f t="shared" si="15"/>
        <v/>
      </c>
      <c r="AE56" s="22" t="str">
        <f t="shared" si="16"/>
        <v/>
      </c>
      <c r="AF56" s="4" t="str">
        <f t="shared" si="17"/>
        <v/>
      </c>
      <c r="AG56" s="3" t="str">
        <f t="shared" si="18"/>
        <v/>
      </c>
      <c r="AH56" s="79" t="str">
        <f t="shared" si="19"/>
        <v/>
      </c>
    </row>
    <row r="57" spans="1:34" x14ac:dyDescent="0.25">
      <c r="B57" s="64" t="s">
        <v>35</v>
      </c>
      <c r="C57" s="65">
        <f t="shared" si="51"/>
        <v>0.54</v>
      </c>
      <c r="D57" s="66">
        <f t="shared" si="20"/>
        <v>1004.75</v>
      </c>
      <c r="E57" s="67">
        <v>46033</v>
      </c>
      <c r="F57" s="68" t="s">
        <v>1</v>
      </c>
      <c r="G57" s="69">
        <f t="shared" si="21"/>
        <v>1.0871371314664247E-2</v>
      </c>
      <c r="H57" s="82"/>
      <c r="I57" s="70" t="str">
        <f t="shared" si="23"/>
        <v/>
      </c>
      <c r="J57" s="71">
        <v>200.95</v>
      </c>
      <c r="K57" s="72">
        <v>197.82</v>
      </c>
      <c r="L57" s="73">
        <v>209.38</v>
      </c>
      <c r="M57" s="83">
        <v>5</v>
      </c>
      <c r="N57" s="67"/>
      <c r="O57" s="70" t="str">
        <f t="shared" si="2"/>
        <v/>
      </c>
      <c r="P57" s="3" t="str">
        <f t="shared" si="3"/>
        <v/>
      </c>
      <c r="Q57" s="75" t="str">
        <f t="shared" si="4"/>
        <v/>
      </c>
      <c r="R57" s="3">
        <f t="shared" si="5"/>
        <v>-15.649999999999977</v>
      </c>
      <c r="S57" s="75">
        <f t="shared" si="6"/>
        <v>-1.5576013933814359E-2</v>
      </c>
      <c r="T57" s="67"/>
      <c r="U57" s="70" t="str">
        <f t="shared" si="7"/>
        <v/>
      </c>
      <c r="V57" s="3" t="str">
        <f t="shared" si="8"/>
        <v/>
      </c>
      <c r="W57" s="75" t="str">
        <f t="shared" si="9"/>
        <v/>
      </c>
      <c r="X57" s="76">
        <f t="shared" si="10"/>
        <v>42.150000000000034</v>
      </c>
      <c r="Y57" s="75">
        <f t="shared" si="11"/>
        <v>4.1950734013436214E-2</v>
      </c>
      <c r="Z57" s="77">
        <f t="shared" si="12"/>
        <v>2.6932907348242874</v>
      </c>
      <c r="AA57" s="78">
        <f>VLOOKUP(B57,EntradaDatos,$AA$115,FALSE)</f>
        <v>219.39</v>
      </c>
      <c r="AB57" s="70" t="str">
        <f t="shared" ca="1" si="13"/>
        <v/>
      </c>
      <c r="AC57" s="75">
        <f t="shared" si="14"/>
        <v>9.1764120427967111E-2</v>
      </c>
      <c r="AD57" s="22">
        <f t="shared" si="15"/>
        <v>0.10903851986654534</v>
      </c>
      <c r="AE57" s="22">
        <f t="shared" si="16"/>
        <v>4.7807813544751054E-2</v>
      </c>
      <c r="AF57" s="4">
        <f t="shared" si="17"/>
        <v>-0.43844884911556115</v>
      </c>
      <c r="AG57" s="3" t="str">
        <f t="shared" si="18"/>
        <v/>
      </c>
      <c r="AH57" s="79" t="str">
        <f t="shared" si="19"/>
        <v/>
      </c>
    </row>
    <row r="58" spans="1:34" x14ac:dyDescent="0.25">
      <c r="B58" s="80" t="s">
        <v>75</v>
      </c>
      <c r="C58" s="65">
        <f t="shared" si="51"/>
        <v>0.54</v>
      </c>
      <c r="D58" s="66">
        <f t="shared" si="20"/>
        <v>998.41700000000003</v>
      </c>
      <c r="E58" s="67">
        <v>46034</v>
      </c>
      <c r="F58" s="68" t="s">
        <v>60</v>
      </c>
      <c r="G58" s="69">
        <f t="shared" si="21"/>
        <v>-4.0127126448119554E-4</v>
      </c>
      <c r="H58" s="81">
        <v>46035</v>
      </c>
      <c r="I58" s="70">
        <f t="shared" si="23"/>
        <v>1</v>
      </c>
      <c r="J58" s="71">
        <v>4.601</v>
      </c>
      <c r="K58" s="72">
        <v>4.3630000000000004</v>
      </c>
      <c r="L58" s="73">
        <v>5.0419999999999998</v>
      </c>
      <c r="M58" s="83">
        <v>217</v>
      </c>
      <c r="N58" s="67"/>
      <c r="O58" s="70" t="str">
        <f t="shared" si="2"/>
        <v/>
      </c>
      <c r="P58" s="3" t="str">
        <f t="shared" si="3"/>
        <v/>
      </c>
      <c r="Q58" s="75" t="str">
        <f t="shared" si="4"/>
        <v/>
      </c>
      <c r="R58" s="3">
        <f t="shared" si="5"/>
        <v>-51.645999999999901</v>
      </c>
      <c r="S58" s="75">
        <f t="shared" si="6"/>
        <v>-5.1727885242338519E-2</v>
      </c>
      <c r="T58" s="67"/>
      <c r="U58" s="70" t="str">
        <f t="shared" si="7"/>
        <v/>
      </c>
      <c r="V58" s="3" t="str">
        <f t="shared" si="8"/>
        <v/>
      </c>
      <c r="W58" s="75" t="str">
        <f t="shared" si="9"/>
        <v/>
      </c>
      <c r="X58" s="76">
        <f t="shared" si="10"/>
        <v>95.69699999999996</v>
      </c>
      <c r="Y58" s="75">
        <f t="shared" si="11"/>
        <v>9.5848728537274469E-2</v>
      </c>
      <c r="Z58" s="77">
        <f t="shared" si="12"/>
        <v>1.852941176470591</v>
      </c>
      <c r="AA58" s="78">
        <f>VLOOKUP(B58,EntradaDatos,$AA$115,FALSE)</f>
        <v>4.74</v>
      </c>
      <c r="AB58" s="70">
        <f t="shared" ca="1" si="13"/>
        <v>4</v>
      </c>
      <c r="AC58" s="75" t="str">
        <f t="shared" si="14"/>
        <v/>
      </c>
      <c r="AD58" s="22">
        <f t="shared" si="15"/>
        <v>8.640843456337377E-2</v>
      </c>
      <c r="AE58" s="22">
        <f t="shared" si="16"/>
        <v>-5.989686632288771E-2</v>
      </c>
      <c r="AF58" s="4">
        <f t="shared" si="17"/>
        <v>0.69318309752456031</v>
      </c>
      <c r="AG58" s="3">
        <f t="shared" si="18"/>
        <v>30.163000000000007</v>
      </c>
      <c r="AH58" s="79">
        <f t="shared" si="19"/>
        <v>3.0210823733970882E-2</v>
      </c>
    </row>
    <row r="59" spans="1:34" x14ac:dyDescent="0.25">
      <c r="B59" s="80" t="s">
        <v>26</v>
      </c>
      <c r="C59" s="65">
        <f t="shared" si="51"/>
        <v>0.56999999999999995</v>
      </c>
      <c r="D59" s="66">
        <f t="shared" si="20"/>
        <v>1006.335</v>
      </c>
      <c r="E59" s="67">
        <v>46026</v>
      </c>
      <c r="F59" s="68" t="s">
        <v>1</v>
      </c>
      <c r="G59" s="69">
        <f t="shared" si="21"/>
        <v>1.1198435317757659E-3</v>
      </c>
      <c r="H59" s="82"/>
      <c r="I59" s="70" t="str">
        <f t="shared" si="23"/>
        <v/>
      </c>
      <c r="J59" s="71">
        <v>17.655000000000001</v>
      </c>
      <c r="K59" s="72">
        <v>17.16</v>
      </c>
      <c r="L59" s="73">
        <v>19.125</v>
      </c>
      <c r="M59" s="83">
        <v>57</v>
      </c>
      <c r="N59" s="67"/>
      <c r="O59" s="70" t="str">
        <f t="shared" si="2"/>
        <v/>
      </c>
      <c r="P59" s="3" t="str">
        <f t="shared" si="3"/>
        <v/>
      </c>
      <c r="Q59" s="75" t="str">
        <f t="shared" si="4"/>
        <v/>
      </c>
      <c r="R59" s="3">
        <f t="shared" si="5"/>
        <v>-28.215000000000057</v>
      </c>
      <c r="S59" s="75">
        <f t="shared" si="6"/>
        <v>-2.8037383177570149E-2</v>
      </c>
      <c r="T59" s="67"/>
      <c r="U59" s="70" t="str">
        <f t="shared" si="7"/>
        <v/>
      </c>
      <c r="V59" s="3" t="str">
        <f t="shared" si="8"/>
        <v/>
      </c>
      <c r="W59" s="75" t="str">
        <f t="shared" si="9"/>
        <v/>
      </c>
      <c r="X59" s="76">
        <f t="shared" si="10"/>
        <v>83.789999999999935</v>
      </c>
      <c r="Y59" s="75">
        <f t="shared" si="11"/>
        <v>8.3262531860662639E-2</v>
      </c>
      <c r="Z59" s="77">
        <f t="shared" si="12"/>
        <v>2.9696969696969613</v>
      </c>
      <c r="AA59" s="78">
        <f>VLOOKUP(B59,EntradaDatos,$AA$115,FALSE)</f>
        <v>18.57</v>
      </c>
      <c r="AB59" s="70" t="str">
        <f t="shared" ca="1" si="13"/>
        <v/>
      </c>
      <c r="AC59" s="75">
        <f t="shared" si="14"/>
        <v>5.1826677994902148E-2</v>
      </c>
      <c r="AD59" s="22">
        <f t="shared" si="15"/>
        <v>8.2167832167832078E-2</v>
      </c>
      <c r="AE59" s="22">
        <f t="shared" si="16"/>
        <v>-2.9019607843137285E-2</v>
      </c>
      <c r="AF59" s="4">
        <f t="shared" si="17"/>
        <v>0.3531748018356286</v>
      </c>
      <c r="AG59" s="3" t="str">
        <f t="shared" si="18"/>
        <v/>
      </c>
      <c r="AH59" s="79" t="str">
        <f t="shared" si="19"/>
        <v/>
      </c>
    </row>
    <row r="60" spans="1:34" x14ac:dyDescent="0.25">
      <c r="A60" s="63">
        <v>17</v>
      </c>
      <c r="B60" s="64" t="s">
        <v>106</v>
      </c>
      <c r="C60" s="65" t="e">
        <f t="shared" ref="C60" si="54">VLOOKUP(B60,Probabilidad,$C$115,FALSE)</f>
        <v>#N/A</v>
      </c>
      <c r="D60" s="66">
        <f t="shared" si="20"/>
        <v>1040.98</v>
      </c>
      <c r="E60" s="67">
        <v>45996</v>
      </c>
      <c r="F60" s="68" t="s">
        <v>95</v>
      </c>
      <c r="G60" s="69" t="e">
        <f t="shared" ref="G60" si="55">VLOOKUP(B60,DataTrend,2,FALSE)</f>
        <v>#N/A</v>
      </c>
      <c r="H60" s="67">
        <v>45987</v>
      </c>
      <c r="I60" s="70">
        <f t="shared" si="23"/>
        <v>-9</v>
      </c>
      <c r="J60" s="71">
        <v>45.26</v>
      </c>
      <c r="K60" s="72">
        <v>38</v>
      </c>
      <c r="L60" s="73">
        <v>60</v>
      </c>
      <c r="M60" s="83">
        <v>23</v>
      </c>
      <c r="N60" s="67"/>
      <c r="O60" s="70" t="str">
        <f t="shared" si="2"/>
        <v/>
      </c>
      <c r="P60" s="3" t="str">
        <f t="shared" si="3"/>
        <v/>
      </c>
      <c r="Q60" s="75" t="str">
        <f t="shared" si="4"/>
        <v/>
      </c>
      <c r="R60" s="3">
        <f t="shared" si="5"/>
        <v>-166.97999999999996</v>
      </c>
      <c r="S60" s="75">
        <f t="shared" si="6"/>
        <v>-0.16040653999116214</v>
      </c>
      <c r="T60" s="67">
        <v>46030</v>
      </c>
      <c r="U60" s="70">
        <f t="shared" si="7"/>
        <v>43</v>
      </c>
      <c r="V60" s="3">
        <f t="shared" si="8"/>
        <v>339.02000000000004</v>
      </c>
      <c r="W60" s="75">
        <f t="shared" si="9"/>
        <v>0.32567388422448079</v>
      </c>
      <c r="X60" s="76">
        <f t="shared" si="10"/>
        <v>339.02000000000004</v>
      </c>
      <c r="Y60" s="75">
        <f t="shared" si="11"/>
        <v>0.32567388422448079</v>
      </c>
      <c r="Z60" s="77">
        <f t="shared" si="12"/>
        <v>2.0303030303030312</v>
      </c>
      <c r="AA60" s="78">
        <v>60</v>
      </c>
      <c r="AB60" s="70" t="str">
        <f t="shared" ca="1" si="13"/>
        <v/>
      </c>
      <c r="AC60" s="75" t="str">
        <f t="shared" si="14"/>
        <v/>
      </c>
      <c r="AD60" s="22" t="str">
        <f t="shared" si="15"/>
        <v/>
      </c>
      <c r="AE60" s="22" t="str">
        <f t="shared" si="16"/>
        <v/>
      </c>
      <c r="AF60" s="4" t="str">
        <f t="shared" si="17"/>
        <v/>
      </c>
      <c r="AG60" s="3" t="str">
        <f t="shared" si="18"/>
        <v/>
      </c>
      <c r="AH60" s="79" t="str">
        <f t="shared" si="19"/>
        <v/>
      </c>
    </row>
    <row r="61" spans="1:34" x14ac:dyDescent="0.25">
      <c r="B61" s="64" t="s">
        <v>41</v>
      </c>
      <c r="C61" s="65">
        <f t="shared" si="51"/>
        <v>0.5</v>
      </c>
      <c r="D61" s="66">
        <f t="shared" si="20"/>
        <v>1179.8999999999999</v>
      </c>
      <c r="E61" s="67">
        <v>46033</v>
      </c>
      <c r="F61" s="68" t="s">
        <v>1</v>
      </c>
      <c r="G61" s="69">
        <f t="shared" si="21"/>
        <v>-3.0110565986155358E-3</v>
      </c>
      <c r="H61" s="82"/>
      <c r="I61" s="70" t="str">
        <f t="shared" si="23"/>
        <v/>
      </c>
      <c r="J61" s="71">
        <v>51.3</v>
      </c>
      <c r="K61" s="72">
        <v>46.22</v>
      </c>
      <c r="L61" s="73">
        <v>60</v>
      </c>
      <c r="M61" s="83">
        <v>23</v>
      </c>
      <c r="N61" s="67"/>
      <c r="O61" s="70" t="str">
        <f t="shared" si="2"/>
        <v/>
      </c>
      <c r="P61" s="3" t="str">
        <f t="shared" si="3"/>
        <v/>
      </c>
      <c r="Q61" s="75" t="str">
        <f t="shared" si="4"/>
        <v/>
      </c>
      <c r="R61" s="3">
        <f t="shared" si="5"/>
        <v>-116.83999999999996</v>
      </c>
      <c r="S61" s="75">
        <f t="shared" si="6"/>
        <v>-9.9025341130604266E-2</v>
      </c>
      <c r="T61" s="67"/>
      <c r="U61" s="70" t="str">
        <f t="shared" si="7"/>
        <v/>
      </c>
      <c r="V61" s="3" t="str">
        <f t="shared" si="8"/>
        <v/>
      </c>
      <c r="W61" s="75" t="str">
        <f t="shared" si="9"/>
        <v/>
      </c>
      <c r="X61" s="76">
        <f t="shared" si="10"/>
        <v>200.10000000000008</v>
      </c>
      <c r="Y61" s="75">
        <f t="shared" si="11"/>
        <v>0.16959064327485388</v>
      </c>
      <c r="Z61" s="77">
        <f t="shared" si="12"/>
        <v>1.7125984251968516</v>
      </c>
      <c r="AA61" s="78">
        <f>VLOOKUP(B61,EntradaDatos,$AA$115,FALSE)</f>
        <v>58.25</v>
      </c>
      <c r="AB61" s="70" t="str">
        <f t="shared" ca="1" si="13"/>
        <v/>
      </c>
      <c r="AC61" s="75">
        <f t="shared" si="14"/>
        <v>0.13547758284600397</v>
      </c>
      <c r="AD61" s="22">
        <f t="shared" si="15"/>
        <v>0.26027693639117278</v>
      </c>
      <c r="AE61" s="22">
        <f t="shared" si="16"/>
        <v>-2.9166666666666674E-2</v>
      </c>
      <c r="AF61" s="4">
        <f t="shared" si="17"/>
        <v>0.11206012745912992</v>
      </c>
      <c r="AG61" s="3" t="str">
        <f t="shared" si="18"/>
        <v/>
      </c>
      <c r="AH61" s="79" t="str">
        <f t="shared" si="19"/>
        <v/>
      </c>
    </row>
    <row r="62" spans="1:34" x14ac:dyDescent="0.25">
      <c r="A62" s="63">
        <v>15</v>
      </c>
      <c r="B62" s="84" t="s">
        <v>120</v>
      </c>
      <c r="C62" s="65" t="e">
        <f t="shared" ref="C62" si="56">VLOOKUP(B62,Probabilidad,$C$115,FALSE)</f>
        <v>#N/A</v>
      </c>
      <c r="D62" s="66">
        <f t="shared" si="20"/>
        <v>996.02399999999989</v>
      </c>
      <c r="E62" s="67">
        <v>46026</v>
      </c>
      <c r="F62" s="68" t="s">
        <v>95</v>
      </c>
      <c r="G62" s="69" t="e">
        <f t="shared" ref="G62" si="57">VLOOKUP(B62,DataTrend,2,FALSE)</f>
        <v>#N/A</v>
      </c>
      <c r="H62" s="67">
        <v>46027</v>
      </c>
      <c r="I62" s="70">
        <f t="shared" si="23"/>
        <v>1</v>
      </c>
      <c r="J62" s="71">
        <v>1.1279999999999999</v>
      </c>
      <c r="K62" s="72">
        <v>1.1100000000000001</v>
      </c>
      <c r="L62" s="73">
        <v>1.224</v>
      </c>
      <c r="M62" s="83">
        <v>883</v>
      </c>
      <c r="N62" s="67">
        <v>46027</v>
      </c>
      <c r="O62" s="70">
        <f t="shared" si="2"/>
        <v>0</v>
      </c>
      <c r="P62" s="3">
        <f t="shared" si="3"/>
        <v>-15.893999999999817</v>
      </c>
      <c r="Q62" s="75">
        <f t="shared" si="4"/>
        <v>-1.5957446808510457E-2</v>
      </c>
      <c r="R62" s="3">
        <f t="shared" si="5"/>
        <v>-15.893999999999817</v>
      </c>
      <c r="S62" s="75">
        <f t="shared" si="6"/>
        <v>-1.5957446808510457E-2</v>
      </c>
      <c r="T62" s="67"/>
      <c r="U62" s="70" t="str">
        <f t="shared" si="7"/>
        <v/>
      </c>
      <c r="V62" s="3" t="str">
        <f t="shared" si="8"/>
        <v/>
      </c>
      <c r="W62" s="75" t="str">
        <f t="shared" si="9"/>
        <v/>
      </c>
      <c r="X62" s="76">
        <f t="shared" si="10"/>
        <v>84.768000000000072</v>
      </c>
      <c r="Y62" s="75">
        <f t="shared" si="11"/>
        <v>8.5106382978723485E-2</v>
      </c>
      <c r="Z62" s="77">
        <f t="shared" si="12"/>
        <v>5.3333333333333988</v>
      </c>
      <c r="AA62" s="78">
        <v>1.1100000000000001</v>
      </c>
      <c r="AB62" s="70" t="str">
        <f t="shared" ca="1" si="13"/>
        <v/>
      </c>
      <c r="AC62" s="75" t="str">
        <f t="shared" si="14"/>
        <v/>
      </c>
      <c r="AD62" s="22" t="str">
        <f t="shared" si="15"/>
        <v/>
      </c>
      <c r="AE62" s="22" t="str">
        <f t="shared" si="16"/>
        <v/>
      </c>
      <c r="AF62" s="4" t="str">
        <f t="shared" si="17"/>
        <v/>
      </c>
      <c r="AG62" s="3" t="str">
        <f t="shared" si="18"/>
        <v/>
      </c>
      <c r="AH62" s="79" t="str">
        <f t="shared" si="19"/>
        <v/>
      </c>
    </row>
    <row r="63" spans="1:34" x14ac:dyDescent="0.25">
      <c r="B63" s="84" t="s">
        <v>70</v>
      </c>
      <c r="C63" s="65">
        <f t="shared" si="51"/>
        <v>0.5</v>
      </c>
      <c r="D63" s="66">
        <f t="shared" si="20"/>
        <v>980.13000000000011</v>
      </c>
      <c r="E63" s="67">
        <v>46033</v>
      </c>
      <c r="F63" s="68" t="s">
        <v>180</v>
      </c>
      <c r="G63" s="69">
        <f t="shared" si="21"/>
        <v>1.8018018018017389E-3</v>
      </c>
      <c r="H63" s="67">
        <v>46034</v>
      </c>
      <c r="I63" s="70">
        <f t="shared" si="23"/>
        <v>1</v>
      </c>
      <c r="J63" s="71">
        <v>1.1100000000000001</v>
      </c>
      <c r="K63" s="72">
        <v>1.0960000000000001</v>
      </c>
      <c r="L63" s="73">
        <v>1.1619999999999999</v>
      </c>
      <c r="M63" s="83">
        <v>883</v>
      </c>
      <c r="N63" s="67"/>
      <c r="O63" s="70" t="str">
        <f t="shared" si="2"/>
        <v/>
      </c>
      <c r="P63" s="3" t="str">
        <f t="shared" si="3"/>
        <v/>
      </c>
      <c r="Q63" s="75" t="str">
        <f t="shared" si="4"/>
        <v/>
      </c>
      <c r="R63" s="3">
        <f t="shared" si="5"/>
        <v>-12.362000000000011</v>
      </c>
      <c r="S63" s="75">
        <f t="shared" si="6"/>
        <v>-1.2612612612612623E-2</v>
      </c>
      <c r="T63" s="67"/>
      <c r="U63" s="70" t="str">
        <f t="shared" si="7"/>
        <v/>
      </c>
      <c r="V63" s="3" t="str">
        <f t="shared" si="8"/>
        <v/>
      </c>
      <c r="W63" s="75" t="str">
        <f t="shared" si="9"/>
        <v/>
      </c>
      <c r="X63" s="76">
        <f t="shared" si="10"/>
        <v>45.915999999999848</v>
      </c>
      <c r="Y63" s="75">
        <f t="shared" si="11"/>
        <v>4.6846846846846688E-2</v>
      </c>
      <c r="Z63" s="77">
        <f t="shared" si="12"/>
        <v>3.7142857142856989</v>
      </c>
      <c r="AA63" s="78">
        <f t="shared" ref="AA63:AA68" si="58">VLOOKUP(B63,EntradaDatos,$AA$115,FALSE)</f>
        <v>1.1299999999999999</v>
      </c>
      <c r="AB63" s="70">
        <f t="shared" ca="1" si="13"/>
        <v>5</v>
      </c>
      <c r="AC63" s="75" t="str">
        <f t="shared" si="14"/>
        <v/>
      </c>
      <c r="AD63" s="22">
        <f t="shared" si="15"/>
        <v>3.1021897810218801E-2</v>
      </c>
      <c r="AE63" s="22">
        <f t="shared" si="16"/>
        <v>-2.7538726333907082E-2</v>
      </c>
      <c r="AF63" s="4">
        <f t="shared" si="17"/>
        <v>0.8877189429988922</v>
      </c>
      <c r="AG63" s="3">
        <f t="shared" si="18"/>
        <v>17.659999999999823</v>
      </c>
      <c r="AH63" s="79">
        <f t="shared" si="19"/>
        <v>1.8018018018017834E-2</v>
      </c>
    </row>
    <row r="64" spans="1:34" x14ac:dyDescent="0.25">
      <c r="B64" s="80" t="s">
        <v>52</v>
      </c>
      <c r="C64" s="65">
        <f t="shared" si="51"/>
        <v>0.56000000000000005</v>
      </c>
      <c r="D64" s="66">
        <f t="shared" si="20"/>
        <v>988.6</v>
      </c>
      <c r="E64" s="67">
        <v>46029</v>
      </c>
      <c r="F64" s="68" t="s">
        <v>1</v>
      </c>
      <c r="G64" s="69">
        <f t="shared" si="21"/>
        <v>-1.6911348010178128E-3</v>
      </c>
      <c r="H64" s="82"/>
      <c r="I64" s="70" t="str">
        <f t="shared" si="23"/>
        <v/>
      </c>
      <c r="J64" s="71">
        <v>49.43</v>
      </c>
      <c r="K64" s="72">
        <v>45.58</v>
      </c>
      <c r="L64" s="73">
        <v>56.8</v>
      </c>
      <c r="M64" s="83">
        <v>20</v>
      </c>
      <c r="N64" s="67"/>
      <c r="O64" s="70" t="str">
        <f t="shared" si="2"/>
        <v/>
      </c>
      <c r="P64" s="3" t="str">
        <f t="shared" si="3"/>
        <v/>
      </c>
      <c r="Q64" s="75" t="str">
        <f t="shared" si="4"/>
        <v/>
      </c>
      <c r="R64" s="3">
        <f t="shared" si="5"/>
        <v>-77.000000000000028</v>
      </c>
      <c r="S64" s="75">
        <f t="shared" si="6"/>
        <v>-7.7887922314384003E-2</v>
      </c>
      <c r="T64" s="67"/>
      <c r="U64" s="70" t="str">
        <f t="shared" si="7"/>
        <v/>
      </c>
      <c r="V64" s="3" t="str">
        <f t="shared" si="8"/>
        <v/>
      </c>
      <c r="W64" s="75" t="str">
        <f t="shared" si="9"/>
        <v/>
      </c>
      <c r="X64" s="76">
        <f t="shared" si="10"/>
        <v>147.39999999999995</v>
      </c>
      <c r="Y64" s="75">
        <f t="shared" si="11"/>
        <v>0.14909973700182069</v>
      </c>
      <c r="Z64" s="77">
        <f t="shared" si="12"/>
        <v>1.9142857142857128</v>
      </c>
      <c r="AA64" s="78">
        <f t="shared" si="58"/>
        <v>58.88</v>
      </c>
      <c r="AB64" s="70" t="str">
        <f t="shared" ca="1" si="13"/>
        <v/>
      </c>
      <c r="AC64" s="75">
        <f t="shared" si="14"/>
        <v>0.19117944568076073</v>
      </c>
      <c r="AD64" s="22">
        <f t="shared" si="15"/>
        <v>0.2917946467749013</v>
      </c>
      <c r="AE64" s="22">
        <f t="shared" si="16"/>
        <v>3.6619718309859328E-2</v>
      </c>
      <c r="AF64" s="4">
        <f t="shared" si="17"/>
        <v>-0.12549825267393894</v>
      </c>
      <c r="AG64" s="3" t="str">
        <f t="shared" si="18"/>
        <v/>
      </c>
      <c r="AH64" s="79" t="str">
        <f t="shared" si="19"/>
        <v/>
      </c>
    </row>
    <row r="65" spans="1:34" x14ac:dyDescent="0.25">
      <c r="B65" s="80" t="s">
        <v>47</v>
      </c>
      <c r="C65" s="65">
        <f t="shared" si="51"/>
        <v>0.56000000000000005</v>
      </c>
      <c r="D65" s="66">
        <f t="shared" si="20"/>
        <v>898.14</v>
      </c>
      <c r="E65" s="67">
        <v>46026</v>
      </c>
      <c r="F65" s="68" t="s">
        <v>1</v>
      </c>
      <c r="G65" s="69">
        <f t="shared" ref="G65" si="59">VLOOKUP(B65,DataTrend,2,FALSE)</f>
        <v>4.3412039065711117E-3</v>
      </c>
      <c r="H65" s="82"/>
      <c r="I65" s="70" t="str">
        <f t="shared" si="23"/>
        <v/>
      </c>
      <c r="J65" s="71">
        <v>299.38</v>
      </c>
      <c r="K65" s="72">
        <v>292.45999999999998</v>
      </c>
      <c r="L65" s="73">
        <v>312.94</v>
      </c>
      <c r="M65" s="83">
        <v>3</v>
      </c>
      <c r="N65" s="67"/>
      <c r="O65" s="70" t="str">
        <f t="shared" si="2"/>
        <v/>
      </c>
      <c r="P65" s="3" t="str">
        <f t="shared" si="3"/>
        <v/>
      </c>
      <c r="Q65" s="75" t="str">
        <f t="shared" si="4"/>
        <v/>
      </c>
      <c r="R65" s="3">
        <f t="shared" si="5"/>
        <v>-20.760000000000048</v>
      </c>
      <c r="S65" s="75">
        <f t="shared" si="6"/>
        <v>-2.3114436502104402E-2</v>
      </c>
      <c r="T65" s="67"/>
      <c r="U65" s="70" t="str">
        <f t="shared" si="7"/>
        <v/>
      </c>
      <c r="V65" s="3" t="str">
        <f t="shared" si="8"/>
        <v/>
      </c>
      <c r="W65" s="75" t="str">
        <f t="shared" si="9"/>
        <v/>
      </c>
      <c r="X65" s="76">
        <f t="shared" si="10"/>
        <v>40.680000000000007</v>
      </c>
      <c r="Y65" s="75">
        <f t="shared" si="11"/>
        <v>4.5293606787360552E-2</v>
      </c>
      <c r="Z65" s="77">
        <f t="shared" si="12"/>
        <v>1.9595375722543311</v>
      </c>
      <c r="AA65" s="78">
        <f t="shared" si="58"/>
        <v>346.46</v>
      </c>
      <c r="AB65" s="70" t="str">
        <f t="shared" ca="1" si="13"/>
        <v/>
      </c>
      <c r="AC65" s="75">
        <f t="shared" si="14"/>
        <v>0.15725833389003929</v>
      </c>
      <c r="AD65" s="22">
        <f t="shared" si="15"/>
        <v>0.18464063461669977</v>
      </c>
      <c r="AE65" s="22">
        <f t="shared" si="16"/>
        <v>0.10711318463603248</v>
      </c>
      <c r="AF65" s="4">
        <f t="shared" si="17"/>
        <v>-0.58011707367877874</v>
      </c>
      <c r="AG65" s="3" t="str">
        <f t="shared" si="18"/>
        <v/>
      </c>
      <c r="AH65" s="79" t="str">
        <f t="shared" si="19"/>
        <v/>
      </c>
    </row>
    <row r="66" spans="1:34" x14ac:dyDescent="0.25">
      <c r="B66" s="80" t="s">
        <v>85</v>
      </c>
      <c r="C66" s="65">
        <f t="shared" si="51"/>
        <v>0.63</v>
      </c>
      <c r="D66" s="66">
        <f t="shared" si="20"/>
        <v>1064.99</v>
      </c>
      <c r="E66" s="67">
        <v>46024</v>
      </c>
      <c r="F66" s="68" t="s">
        <v>60</v>
      </c>
      <c r="G66" s="69">
        <f t="shared" ref="G66:G67" si="60">VLOOKUP(B66,DataTrend,2,FALSE)</f>
        <v>-5.9632716610349855E-3</v>
      </c>
      <c r="H66" s="67">
        <v>46024</v>
      </c>
      <c r="I66" s="70">
        <f t="shared" si="23"/>
        <v>0</v>
      </c>
      <c r="J66" s="71">
        <v>1064.99</v>
      </c>
      <c r="K66" s="72">
        <v>995</v>
      </c>
      <c r="L66" s="73">
        <v>1200</v>
      </c>
      <c r="M66" s="83">
        <v>1</v>
      </c>
      <c r="N66" s="67"/>
      <c r="O66" s="70" t="str">
        <f t="shared" si="2"/>
        <v/>
      </c>
      <c r="P66" s="3" t="str">
        <f t="shared" si="3"/>
        <v/>
      </c>
      <c r="Q66" s="75" t="str">
        <f t="shared" si="4"/>
        <v/>
      </c>
      <c r="R66" s="3">
        <f t="shared" si="5"/>
        <v>-69.990000000000009</v>
      </c>
      <c r="S66" s="75">
        <f t="shared" si="6"/>
        <v>-6.5718926938281116E-2</v>
      </c>
      <c r="T66" s="67"/>
      <c r="U66" s="70" t="str">
        <f t="shared" si="7"/>
        <v/>
      </c>
      <c r="V66" s="3" t="str">
        <f t="shared" si="8"/>
        <v/>
      </c>
      <c r="W66" s="75" t="str">
        <f t="shared" si="9"/>
        <v/>
      </c>
      <c r="X66" s="76">
        <f t="shared" si="10"/>
        <v>135.01</v>
      </c>
      <c r="Y66" s="75">
        <f t="shared" si="11"/>
        <v>0.12677114339101775</v>
      </c>
      <c r="Z66" s="77">
        <f t="shared" si="12"/>
        <v>1.9289898556936702</v>
      </c>
      <c r="AA66" s="78">
        <f t="shared" si="58"/>
        <v>1038.4000000000001</v>
      </c>
      <c r="AB66" s="70">
        <f t="shared" ca="1" si="13"/>
        <v>15</v>
      </c>
      <c r="AC66" s="75" t="str">
        <f t="shared" si="14"/>
        <v/>
      </c>
      <c r="AD66" s="22">
        <f t="shared" si="15"/>
        <v>4.3618090452261393E-2</v>
      </c>
      <c r="AE66" s="22">
        <f t="shared" si="16"/>
        <v>-0.1346666666666666</v>
      </c>
      <c r="AF66" s="4">
        <f t="shared" si="17"/>
        <v>3.0874039938555993</v>
      </c>
      <c r="AG66" s="3">
        <f t="shared" si="18"/>
        <v>-26.589999999999943</v>
      </c>
      <c r="AH66" s="79">
        <f t="shared" si="19"/>
        <v>-2.4967370585639248E-2</v>
      </c>
    </row>
    <row r="67" spans="1:34" x14ac:dyDescent="0.25">
      <c r="B67" s="80" t="s">
        <v>55</v>
      </c>
      <c r="C67" s="65">
        <f t="shared" si="51"/>
        <v>0.59</v>
      </c>
      <c r="D67" s="66">
        <f t="shared" si="20"/>
        <v>905.02</v>
      </c>
      <c r="E67" s="67">
        <v>46032</v>
      </c>
      <c r="F67" s="68" t="s">
        <v>1</v>
      </c>
      <c r="G67" s="69">
        <f t="shared" si="60"/>
        <v>1.4697369960815321E-2</v>
      </c>
      <c r="H67" s="82"/>
      <c r="I67" s="70" t="str">
        <f t="shared" si="23"/>
        <v/>
      </c>
      <c r="J67" s="71">
        <v>452.51</v>
      </c>
      <c r="K67" s="72">
        <v>437.49</v>
      </c>
      <c r="L67" s="73">
        <v>535.34</v>
      </c>
      <c r="M67" s="83">
        <v>2</v>
      </c>
      <c r="N67" s="67"/>
      <c r="O67" s="70" t="str">
        <f t="shared" ref="O67:O114" si="61">IF(N67=0,"",-H67+N67)</f>
        <v/>
      </c>
      <c r="P67" s="3" t="str">
        <f t="shared" ref="P67:P114" si="62">IF(N67&gt;0,(-J67+AA67)*M67,"")</f>
        <v/>
      </c>
      <c r="Q67" s="75" t="str">
        <f t="shared" ref="Q67:Q114" si="63">IF(P67="","",+P67/(J67*M67))</f>
        <v/>
      </c>
      <c r="R67" s="3">
        <f t="shared" ref="R67:R114" si="64">(+K67-J67)*M67</f>
        <v>-30.039999999999964</v>
      </c>
      <c r="S67" s="75">
        <f t="shared" ref="S67:S114" si="65">+R67/(J67*M67)</f>
        <v>-3.3192636626814841E-2</v>
      </c>
      <c r="T67" s="67"/>
      <c r="U67" s="70" t="str">
        <f t="shared" ref="U67:U114" si="66">IF(T67=0,"",-H67+T67)</f>
        <v/>
      </c>
      <c r="V67" s="3" t="str">
        <f t="shared" ref="V67:V86" si="67">IF(T67&gt;0,(-J67+AA67)*M67,"")</f>
        <v/>
      </c>
      <c r="W67" s="75" t="str">
        <f t="shared" ref="W67:W86" si="68">IF(V67="","",+V67/(J67*M67))</f>
        <v/>
      </c>
      <c r="X67" s="76">
        <f t="shared" ref="X67:X114" si="69">(+L67-J67)*M67</f>
        <v>165.66000000000008</v>
      </c>
      <c r="Y67" s="75">
        <f t="shared" ref="Y67:Y114" si="70">+X67/(J67*M67)</f>
        <v>0.18304567854854045</v>
      </c>
      <c r="Z67" s="77">
        <f t="shared" ref="Z67:Z115" si="71">-X67/R67</f>
        <v>5.5146471371504751</v>
      </c>
      <c r="AA67" s="78">
        <f t="shared" si="58"/>
        <v>582.42999999999995</v>
      </c>
      <c r="AB67" s="70" t="str">
        <f t="shared" ref="AB67:AB114" ca="1" si="72">IF(AND(N67=0,T67=0),IF(H67&gt;0,+TODAY()-H67,""),"")</f>
        <v/>
      </c>
      <c r="AC67" s="75">
        <f t="shared" ref="AC67:AC114" si="73">IF(H67=0,+AA67/J67-1,"")</f>
        <v>0.28710967713420699</v>
      </c>
      <c r="AD67" s="22">
        <f t="shared" ref="AD67:AD114" si="74">IF(F67="Close","",+AA67/K67-1)</f>
        <v>0.33129900112002542</v>
      </c>
      <c r="AE67" s="22">
        <f t="shared" ref="AE67:AE114" si="75">IF(F67="Close","",+AA67/L67-1)</f>
        <v>8.7962790002614977E-2</v>
      </c>
      <c r="AF67" s="4">
        <f t="shared" ref="AF67:AF114" si="76">IF(F67="Close","",-AE67/AD67)</f>
        <v>-0.26550876913373844</v>
      </c>
      <c r="AG67" s="3" t="str">
        <f t="shared" ref="AG67:AG114" si="77">IF(AH67="","",AH67*D67)</f>
        <v/>
      </c>
      <c r="AH67" s="79" t="str">
        <f t="shared" ref="AH67:AH114" si="78">IF(F67="Close","",IF(H67=0,"",+AA67/J67-1))</f>
        <v/>
      </c>
    </row>
    <row r="68" spans="1:34" x14ac:dyDescent="0.25">
      <c r="B68" s="80" t="s">
        <v>74</v>
      </c>
      <c r="C68" s="65">
        <f t="shared" si="51"/>
        <v>0.5</v>
      </c>
      <c r="D68" s="66">
        <f t="shared" si="20"/>
        <v>996</v>
      </c>
      <c r="E68" s="67">
        <v>45988</v>
      </c>
      <c r="F68" s="68" t="s">
        <v>60</v>
      </c>
      <c r="G68" s="69">
        <f t="shared" si="21"/>
        <v>1.007109565181108E-3</v>
      </c>
      <c r="H68" s="67">
        <v>45980</v>
      </c>
      <c r="I68" s="70">
        <f t="shared" si="23"/>
        <v>-8</v>
      </c>
      <c r="J68" s="71">
        <v>3.984</v>
      </c>
      <c r="K68" s="72">
        <v>3.8</v>
      </c>
      <c r="L68" s="73">
        <v>4.4939999999999998</v>
      </c>
      <c r="M68" s="83">
        <v>250</v>
      </c>
      <c r="N68" s="67"/>
      <c r="O68" s="70" t="str">
        <f t="shared" si="61"/>
        <v/>
      </c>
      <c r="P68" s="3" t="str">
        <f t="shared" si="62"/>
        <v/>
      </c>
      <c r="Q68" s="75" t="str">
        <f t="shared" si="63"/>
        <v/>
      </c>
      <c r="R68" s="3">
        <f t="shared" si="64"/>
        <v>-46.000000000000043</v>
      </c>
      <c r="S68" s="75">
        <f t="shared" si="65"/>
        <v>-4.6184738955823333E-2</v>
      </c>
      <c r="T68" s="67"/>
      <c r="U68" s="70" t="str">
        <f t="shared" si="66"/>
        <v/>
      </c>
      <c r="V68" s="3" t="str">
        <f t="shared" si="67"/>
        <v/>
      </c>
      <c r="W68" s="75" t="str">
        <f t="shared" si="68"/>
        <v/>
      </c>
      <c r="X68" s="76">
        <f t="shared" si="69"/>
        <v>127.49999999999994</v>
      </c>
      <c r="Y68" s="75">
        <f t="shared" si="70"/>
        <v>0.12801204819277104</v>
      </c>
      <c r="Z68" s="77">
        <f t="shared" si="71"/>
        <v>2.7717391304347787</v>
      </c>
      <c r="AA68" s="78">
        <f t="shared" si="58"/>
        <v>4.25</v>
      </c>
      <c r="AB68" s="70">
        <f t="shared" ca="1" si="72"/>
        <v>59</v>
      </c>
      <c r="AC68" s="75" t="str">
        <f t="shared" si="73"/>
        <v/>
      </c>
      <c r="AD68" s="22">
        <f t="shared" si="74"/>
        <v>0.11842105263157898</v>
      </c>
      <c r="AE68" s="22">
        <f t="shared" si="75"/>
        <v>-5.4294615042278505E-2</v>
      </c>
      <c r="AF68" s="4">
        <f t="shared" si="76"/>
        <v>0.45848786035701833</v>
      </c>
      <c r="AG68" s="3">
        <f t="shared" si="77"/>
        <v>66.499999999999943</v>
      </c>
      <c r="AH68" s="79">
        <f t="shared" si="78"/>
        <v>6.6767068273092312E-2</v>
      </c>
    </row>
    <row r="69" spans="1:34" x14ac:dyDescent="0.25">
      <c r="A69" s="63">
        <v>34</v>
      </c>
      <c r="B69" s="80" t="s">
        <v>134</v>
      </c>
      <c r="C69" s="65" t="e">
        <f t="shared" ref="C69" si="79">VLOOKUP(B69,Probabilidad,$C$115,FALSE)</f>
        <v>#N/A</v>
      </c>
      <c r="D69" s="66">
        <f t="shared" ref="D69:D114" si="80">+J69*M69</f>
        <v>999.18</v>
      </c>
      <c r="E69" s="67">
        <v>46024</v>
      </c>
      <c r="F69" s="68" t="s">
        <v>95</v>
      </c>
      <c r="G69" s="69" t="e">
        <f t="shared" si="21"/>
        <v>#N/A</v>
      </c>
      <c r="H69" s="67">
        <v>46027</v>
      </c>
      <c r="I69" s="70">
        <f t="shared" ref="I69:I176" si="81">IF(H69=0,"",+H69-E69)</f>
        <v>3</v>
      </c>
      <c r="J69" s="71">
        <v>7.93</v>
      </c>
      <c r="K69" s="72">
        <v>7.75</v>
      </c>
      <c r="L69" s="73">
        <v>8.2850000000000001</v>
      </c>
      <c r="M69" s="83">
        <v>126</v>
      </c>
      <c r="N69" s="67">
        <v>46037</v>
      </c>
      <c r="O69" s="70">
        <f t="shared" si="61"/>
        <v>10</v>
      </c>
      <c r="P69" s="3">
        <f t="shared" si="62"/>
        <v>-23.309999999999953</v>
      </c>
      <c r="Q69" s="75">
        <f t="shared" si="63"/>
        <v>-2.3329129886506889E-2</v>
      </c>
      <c r="R69" s="3">
        <f t="shared" si="64"/>
        <v>-22.679999999999964</v>
      </c>
      <c r="S69" s="75">
        <f t="shared" si="65"/>
        <v>-2.2698612862547256E-2</v>
      </c>
      <c r="T69" s="67"/>
      <c r="U69" s="70" t="str">
        <f t="shared" si="66"/>
        <v/>
      </c>
      <c r="V69" s="3" t="str">
        <f t="shared" si="67"/>
        <v/>
      </c>
      <c r="W69" s="75" t="str">
        <f t="shared" si="68"/>
        <v/>
      </c>
      <c r="X69" s="76">
        <f t="shared" si="69"/>
        <v>44.730000000000054</v>
      </c>
      <c r="Y69" s="75">
        <f t="shared" si="70"/>
        <v>4.4766708701134986E-2</v>
      </c>
      <c r="Z69" s="77">
        <f t="shared" si="71"/>
        <v>1.9722222222222276</v>
      </c>
      <c r="AA69" s="78">
        <v>7.7450000000000001</v>
      </c>
      <c r="AB69" s="70" t="str">
        <f t="shared" ca="1" si="72"/>
        <v/>
      </c>
      <c r="AC69" s="75" t="str">
        <f t="shared" si="73"/>
        <v/>
      </c>
      <c r="AD69" s="22" t="str">
        <f t="shared" si="74"/>
        <v/>
      </c>
      <c r="AE69" s="22" t="str">
        <f t="shared" si="75"/>
        <v/>
      </c>
      <c r="AF69" s="4" t="str">
        <f t="shared" si="76"/>
        <v/>
      </c>
      <c r="AG69" s="3" t="str">
        <f t="shared" si="77"/>
        <v/>
      </c>
      <c r="AH69" s="79" t="str">
        <f t="shared" si="78"/>
        <v/>
      </c>
    </row>
    <row r="70" spans="1:34" x14ac:dyDescent="0.25">
      <c r="B70" s="80" t="s">
        <v>72</v>
      </c>
      <c r="C70" s="65">
        <f t="shared" si="51"/>
        <v>0.54</v>
      </c>
      <c r="D70" s="66">
        <f t="shared" si="80"/>
        <v>997.12</v>
      </c>
      <c r="E70" s="67">
        <v>46037</v>
      </c>
      <c r="F70" s="68" t="s">
        <v>60</v>
      </c>
      <c r="G70" s="69">
        <f t="shared" ref="G70:G77" si="82">VLOOKUP(B70,DataTrend,2,FALSE)</f>
        <v>-4.7715563553029083E-3</v>
      </c>
      <c r="H70" s="67">
        <v>46038</v>
      </c>
      <c r="I70" s="70">
        <f t="shared" si="81"/>
        <v>1</v>
      </c>
      <c r="J70" s="71">
        <v>7.79</v>
      </c>
      <c r="K70" s="72">
        <v>7.6</v>
      </c>
      <c r="L70" s="73">
        <v>8.18</v>
      </c>
      <c r="M70" s="83">
        <v>128</v>
      </c>
      <c r="N70" s="67"/>
      <c r="O70" s="70" t="str">
        <f t="shared" si="61"/>
        <v/>
      </c>
      <c r="P70" s="3" t="str">
        <f t="shared" si="62"/>
        <v/>
      </c>
      <c r="Q70" s="75" t="str">
        <f t="shared" si="63"/>
        <v/>
      </c>
      <c r="R70" s="3">
        <f t="shared" si="64"/>
        <v>-24.32000000000005</v>
      </c>
      <c r="S70" s="75">
        <f t="shared" si="65"/>
        <v>-2.4390243902439074E-2</v>
      </c>
      <c r="T70" s="67"/>
      <c r="U70" s="70" t="str">
        <f t="shared" si="66"/>
        <v/>
      </c>
      <c r="V70" s="3" t="str">
        <f t="shared" si="67"/>
        <v/>
      </c>
      <c r="W70" s="75" t="str">
        <f t="shared" si="68"/>
        <v/>
      </c>
      <c r="X70" s="76">
        <f t="shared" si="69"/>
        <v>49.919999999999959</v>
      </c>
      <c r="Y70" s="75">
        <f t="shared" si="70"/>
        <v>5.00641848523748E-2</v>
      </c>
      <c r="Z70" s="77">
        <f t="shared" si="71"/>
        <v>2.0526315789473624</v>
      </c>
      <c r="AA70" s="78">
        <f t="shared" ref="AA70:AA78" si="83">VLOOKUP(B70,EntradaDatos,$AA$115,FALSE)</f>
        <v>7.78</v>
      </c>
      <c r="AB70" s="70">
        <f t="shared" ca="1" si="72"/>
        <v>1</v>
      </c>
      <c r="AC70" s="75" t="str">
        <f t="shared" si="73"/>
        <v/>
      </c>
      <c r="AD70" s="22">
        <f t="shared" si="74"/>
        <v>2.3684210526315974E-2</v>
      </c>
      <c r="AE70" s="22">
        <f t="shared" si="75"/>
        <v>-4.8899755501222386E-2</v>
      </c>
      <c r="AF70" s="4">
        <f t="shared" si="76"/>
        <v>2.0646563433849292</v>
      </c>
      <c r="AG70" s="3">
        <f t="shared" si="77"/>
        <v>-1.2799999999999663</v>
      </c>
      <c r="AH70" s="79">
        <f t="shared" si="78"/>
        <v>-1.2836970474967568E-3</v>
      </c>
    </row>
    <row r="71" spans="1:34" x14ac:dyDescent="0.25">
      <c r="A71" s="63">
        <v>32</v>
      </c>
      <c r="B71" s="80" t="s">
        <v>135</v>
      </c>
      <c r="C71" s="65" t="e">
        <f t="shared" ref="C71" si="84">VLOOKUP(B71,Probabilidad,$C$115,FALSE)</f>
        <v>#N/A</v>
      </c>
      <c r="D71" s="66">
        <f t="shared" si="80"/>
        <v>1289.98</v>
      </c>
      <c r="E71" s="67">
        <v>46025</v>
      </c>
      <c r="F71" s="68" t="s">
        <v>95</v>
      </c>
      <c r="G71" s="69" t="e">
        <f t="shared" si="82"/>
        <v>#N/A</v>
      </c>
      <c r="H71" s="67">
        <v>46029</v>
      </c>
      <c r="I71" s="70">
        <f t="shared" si="81"/>
        <v>4</v>
      </c>
      <c r="J71" s="71">
        <v>644.99</v>
      </c>
      <c r="K71" s="72">
        <v>620</v>
      </c>
      <c r="L71" s="73">
        <v>710</v>
      </c>
      <c r="M71" s="83">
        <v>2</v>
      </c>
      <c r="N71" s="67">
        <v>46036</v>
      </c>
      <c r="O71" s="70">
        <f t="shared" si="61"/>
        <v>7</v>
      </c>
      <c r="P71" s="3">
        <f t="shared" si="62"/>
        <v>-50.039999999999964</v>
      </c>
      <c r="Q71" s="75">
        <f t="shared" si="63"/>
        <v>-3.8791299089908339E-2</v>
      </c>
      <c r="R71" s="3">
        <f t="shared" si="64"/>
        <v>-49.980000000000018</v>
      </c>
      <c r="S71" s="75">
        <f t="shared" si="65"/>
        <v>-3.8744786740879715E-2</v>
      </c>
      <c r="T71" s="67"/>
      <c r="U71" s="70" t="str">
        <f t="shared" si="66"/>
        <v/>
      </c>
      <c r="V71" s="3" t="str">
        <f t="shared" si="67"/>
        <v/>
      </c>
      <c r="W71" s="75" t="str">
        <f t="shared" si="68"/>
        <v/>
      </c>
      <c r="X71" s="76">
        <f t="shared" si="69"/>
        <v>130.01999999999998</v>
      </c>
      <c r="Y71" s="75">
        <f t="shared" si="70"/>
        <v>0.10079226034512162</v>
      </c>
      <c r="Z71" s="77">
        <f t="shared" si="71"/>
        <v>2.6014405762304911</v>
      </c>
      <c r="AA71" s="78">
        <v>619.97</v>
      </c>
      <c r="AB71" s="70" t="str">
        <f t="shared" ca="1" si="72"/>
        <v/>
      </c>
      <c r="AC71" s="75" t="str">
        <f t="shared" si="73"/>
        <v/>
      </c>
      <c r="AD71" s="22" t="str">
        <f t="shared" si="74"/>
        <v/>
      </c>
      <c r="AE71" s="22" t="str">
        <f t="shared" si="75"/>
        <v/>
      </c>
      <c r="AF71" s="4" t="str">
        <f t="shared" si="76"/>
        <v/>
      </c>
      <c r="AG71" s="3" t="str">
        <f t="shared" si="77"/>
        <v/>
      </c>
      <c r="AH71" s="79" t="str">
        <f t="shared" si="78"/>
        <v/>
      </c>
    </row>
    <row r="72" spans="1:34" x14ac:dyDescent="0.25">
      <c r="B72" s="80" t="s">
        <v>83</v>
      </c>
      <c r="C72" s="65">
        <f t="shared" si="51"/>
        <v>0.62</v>
      </c>
      <c r="D72" s="66">
        <f t="shared" si="80"/>
        <v>1201.26</v>
      </c>
      <c r="E72" s="67">
        <v>46036</v>
      </c>
      <c r="F72" s="68" t="s">
        <v>60</v>
      </c>
      <c r="G72" s="69">
        <f t="shared" ref="G72:G73" si="85">VLOOKUP(B72,DataTrend,2,FALSE)</f>
        <v>-8.5241822449508182E-3</v>
      </c>
      <c r="H72" s="67">
        <v>46036</v>
      </c>
      <c r="I72" s="70">
        <f t="shared" si="81"/>
        <v>0</v>
      </c>
      <c r="J72" s="71">
        <v>600.63</v>
      </c>
      <c r="K72" s="72">
        <v>577.28</v>
      </c>
      <c r="L72" s="73">
        <v>705.31</v>
      </c>
      <c r="M72" s="83">
        <v>2</v>
      </c>
      <c r="N72" s="67"/>
      <c r="O72" s="70" t="str">
        <f t="shared" si="61"/>
        <v/>
      </c>
      <c r="P72" s="3" t="str">
        <f t="shared" si="62"/>
        <v/>
      </c>
      <c r="Q72" s="75" t="str">
        <f t="shared" si="63"/>
        <v/>
      </c>
      <c r="R72" s="3">
        <f t="shared" si="64"/>
        <v>-46.700000000000045</v>
      </c>
      <c r="S72" s="75">
        <f t="shared" si="65"/>
        <v>-3.8875847027288052E-2</v>
      </c>
      <c r="T72" s="67"/>
      <c r="U72" s="70" t="str">
        <f t="shared" si="66"/>
        <v/>
      </c>
      <c r="V72" s="3" t="str">
        <f t="shared" si="67"/>
        <v/>
      </c>
      <c r="W72" s="75" t="str">
        <f t="shared" si="68"/>
        <v/>
      </c>
      <c r="X72" s="76">
        <f t="shared" si="69"/>
        <v>209.3599999999999</v>
      </c>
      <c r="Y72" s="75">
        <f t="shared" si="70"/>
        <v>0.17428366881441146</v>
      </c>
      <c r="Z72" s="77">
        <f t="shared" si="71"/>
        <v>4.4830835117772958</v>
      </c>
      <c r="AA72" s="78">
        <f t="shared" si="83"/>
        <v>620.25</v>
      </c>
      <c r="AB72" s="70">
        <f t="shared" ca="1" si="72"/>
        <v>3</v>
      </c>
      <c r="AC72" s="75" t="str">
        <f t="shared" si="73"/>
        <v/>
      </c>
      <c r="AD72" s="22">
        <f t="shared" si="74"/>
        <v>7.4435282705099803E-2</v>
      </c>
      <c r="AE72" s="22">
        <f t="shared" si="75"/>
        <v>-0.12059945272291606</v>
      </c>
      <c r="AF72" s="4">
        <f t="shared" si="76"/>
        <v>1.6201920425386307</v>
      </c>
      <c r="AG72" s="3">
        <f t="shared" si="77"/>
        <v>39.239999999999903</v>
      </c>
      <c r="AH72" s="79">
        <f t="shared" si="78"/>
        <v>3.2665701013935289E-2</v>
      </c>
    </row>
    <row r="73" spans="1:34" x14ac:dyDescent="0.25">
      <c r="B73" s="80" t="s">
        <v>16</v>
      </c>
      <c r="C73" s="65">
        <f t="shared" si="51"/>
        <v>0.5</v>
      </c>
      <c r="D73" s="66">
        <f t="shared" si="80"/>
        <v>1038.433</v>
      </c>
      <c r="E73" s="67">
        <v>46029</v>
      </c>
      <c r="F73" s="68" t="s">
        <v>1</v>
      </c>
      <c r="G73" s="69">
        <f t="shared" si="85"/>
        <v>-1.5791010871071265E-3</v>
      </c>
      <c r="H73" s="82"/>
      <c r="I73" s="70" t="str">
        <f t="shared" si="81"/>
        <v/>
      </c>
      <c r="J73" s="71">
        <v>94.403000000000006</v>
      </c>
      <c r="K73" s="72">
        <v>92.683000000000007</v>
      </c>
      <c r="L73" s="73">
        <v>96.884</v>
      </c>
      <c r="M73" s="83">
        <v>11</v>
      </c>
      <c r="N73" s="67"/>
      <c r="O73" s="70" t="str">
        <f t="shared" si="61"/>
        <v/>
      </c>
      <c r="P73" s="3" t="str">
        <f t="shared" si="62"/>
        <v/>
      </c>
      <c r="Q73" s="75" t="str">
        <f t="shared" si="63"/>
        <v/>
      </c>
      <c r="R73" s="3">
        <f t="shared" si="64"/>
        <v>-18.919999999999987</v>
      </c>
      <c r="S73" s="75">
        <f t="shared" si="65"/>
        <v>-1.8219759965255329E-2</v>
      </c>
      <c r="T73" s="67"/>
      <c r="U73" s="70" t="str">
        <f t="shared" si="66"/>
        <v/>
      </c>
      <c r="V73" s="3" t="str">
        <f t="shared" si="67"/>
        <v/>
      </c>
      <c r="W73" s="75" t="str">
        <f t="shared" si="68"/>
        <v/>
      </c>
      <c r="X73" s="76">
        <f t="shared" si="69"/>
        <v>27.29099999999994</v>
      </c>
      <c r="Y73" s="75">
        <f t="shared" si="70"/>
        <v>2.6280944461510698E-2</v>
      </c>
      <c r="Z73" s="77">
        <f t="shared" si="71"/>
        <v>1.4424418604651141</v>
      </c>
      <c r="AA73" s="78">
        <f t="shared" si="83"/>
        <v>96.02</v>
      </c>
      <c r="AB73" s="70" t="str">
        <f t="shared" ca="1" si="72"/>
        <v/>
      </c>
      <c r="AC73" s="75">
        <f t="shared" si="73"/>
        <v>1.7128692944080148E-2</v>
      </c>
      <c r="AD73" s="22">
        <f t="shared" si="74"/>
        <v>3.600444525964841E-2</v>
      </c>
      <c r="AE73" s="22">
        <f t="shared" si="75"/>
        <v>-8.9178811774907052E-3</v>
      </c>
      <c r="AF73" s="4">
        <f t="shared" si="76"/>
        <v>0.24768833718111255</v>
      </c>
      <c r="AG73" s="3" t="str">
        <f t="shared" si="77"/>
        <v/>
      </c>
      <c r="AH73" s="79" t="str">
        <f t="shared" si="78"/>
        <v/>
      </c>
    </row>
    <row r="74" spans="1:34" x14ac:dyDescent="0.25">
      <c r="B74" s="80" t="s">
        <v>80</v>
      </c>
      <c r="C74" s="65">
        <f t="shared" si="51"/>
        <v>0.5</v>
      </c>
      <c r="D74" s="66">
        <f t="shared" si="80"/>
        <v>1005.6700000000001</v>
      </c>
      <c r="E74" s="67">
        <v>46029</v>
      </c>
      <c r="F74" s="68" t="s">
        <v>60</v>
      </c>
      <c r="G74" s="69">
        <f t="shared" si="82"/>
        <v>-2.0428790259315877E-3</v>
      </c>
      <c r="H74" s="67">
        <v>46029</v>
      </c>
      <c r="I74" s="70">
        <f t="shared" si="81"/>
        <v>0</v>
      </c>
      <c r="J74" s="71">
        <v>12.73</v>
      </c>
      <c r="K74" s="72">
        <v>11.78</v>
      </c>
      <c r="L74" s="73">
        <v>13.83</v>
      </c>
      <c r="M74" s="83">
        <v>79</v>
      </c>
      <c r="N74" s="67"/>
      <c r="O74" s="70" t="str">
        <f t="shared" si="61"/>
        <v/>
      </c>
      <c r="P74" s="3" t="str">
        <f t="shared" si="62"/>
        <v/>
      </c>
      <c r="Q74" s="75" t="str">
        <f t="shared" si="63"/>
        <v/>
      </c>
      <c r="R74" s="3">
        <f t="shared" si="64"/>
        <v>-75.050000000000082</v>
      </c>
      <c r="S74" s="75">
        <f t="shared" si="65"/>
        <v>-7.4626865671641868E-2</v>
      </c>
      <c r="T74" s="67"/>
      <c r="U74" s="70" t="str">
        <f t="shared" si="66"/>
        <v/>
      </c>
      <c r="V74" s="3" t="str">
        <f t="shared" si="67"/>
        <v/>
      </c>
      <c r="W74" s="75" t="str">
        <f t="shared" si="68"/>
        <v/>
      </c>
      <c r="X74" s="76">
        <f t="shared" si="69"/>
        <v>86.899999999999977</v>
      </c>
      <c r="Y74" s="75">
        <f t="shared" si="70"/>
        <v>8.6410054988216786E-2</v>
      </c>
      <c r="Z74" s="77">
        <f t="shared" si="71"/>
        <v>1.1578947368421038</v>
      </c>
      <c r="AA74" s="78">
        <f t="shared" si="83"/>
        <v>12.49</v>
      </c>
      <c r="AB74" s="70">
        <f t="shared" ca="1" si="72"/>
        <v>10</v>
      </c>
      <c r="AC74" s="75" t="str">
        <f t="shared" si="73"/>
        <v/>
      </c>
      <c r="AD74" s="22">
        <f t="shared" si="74"/>
        <v>6.0271646859083372E-2</v>
      </c>
      <c r="AE74" s="22">
        <f t="shared" si="75"/>
        <v>-9.6890817064352874E-2</v>
      </c>
      <c r="AF74" s="4">
        <f t="shared" si="76"/>
        <v>1.6075687676310895</v>
      </c>
      <c r="AG74" s="3">
        <f t="shared" si="77"/>
        <v>-18.960000000000061</v>
      </c>
      <c r="AH74" s="79">
        <f t="shared" si="78"/>
        <v>-1.8853102906520092E-2</v>
      </c>
    </row>
    <row r="75" spans="1:34" x14ac:dyDescent="0.25">
      <c r="B75" s="80" t="s">
        <v>13</v>
      </c>
      <c r="C75" s="65">
        <f t="shared" si="51"/>
        <v>0.66</v>
      </c>
      <c r="D75" s="66">
        <f t="shared" si="80"/>
        <v>933.48</v>
      </c>
      <c r="E75" s="67">
        <v>46027</v>
      </c>
      <c r="F75" s="68" t="s">
        <v>1</v>
      </c>
      <c r="G75" s="69">
        <f t="shared" ref="G75:G76" si="86">VLOOKUP(B75,DataTrend,2,FALSE)</f>
        <v>-8.0353059760932769E-3</v>
      </c>
      <c r="H75" s="82"/>
      <c r="I75" s="70" t="str">
        <f t="shared" si="81"/>
        <v/>
      </c>
      <c r="J75" s="71">
        <v>466.74</v>
      </c>
      <c r="K75" s="72">
        <v>454.75</v>
      </c>
      <c r="L75" s="73">
        <v>543.36</v>
      </c>
      <c r="M75" s="83">
        <v>2</v>
      </c>
      <c r="N75" s="67"/>
      <c r="O75" s="70" t="str">
        <f t="shared" si="61"/>
        <v/>
      </c>
      <c r="P75" s="3" t="str">
        <f t="shared" si="62"/>
        <v/>
      </c>
      <c r="Q75" s="75" t="str">
        <f t="shared" si="63"/>
        <v/>
      </c>
      <c r="R75" s="3">
        <f t="shared" si="64"/>
        <v>-23.980000000000018</v>
      </c>
      <c r="S75" s="75">
        <f t="shared" si="65"/>
        <v>-2.5688820328234153E-2</v>
      </c>
      <c r="T75" s="67"/>
      <c r="U75" s="70" t="str">
        <f t="shared" si="66"/>
        <v/>
      </c>
      <c r="V75" s="3" t="str">
        <f t="shared" si="67"/>
        <v/>
      </c>
      <c r="W75" s="75" t="str">
        <f t="shared" si="68"/>
        <v/>
      </c>
      <c r="X75" s="76">
        <f t="shared" si="69"/>
        <v>153.24</v>
      </c>
      <c r="Y75" s="75">
        <f t="shared" si="70"/>
        <v>0.16415991772721431</v>
      </c>
      <c r="Z75" s="77">
        <f t="shared" si="71"/>
        <v>6.3903252710592113</v>
      </c>
      <c r="AA75" s="78">
        <f t="shared" si="83"/>
        <v>459.86</v>
      </c>
      <c r="AB75" s="70" t="str">
        <f t="shared" ca="1" si="72"/>
        <v/>
      </c>
      <c r="AC75" s="75">
        <f t="shared" si="73"/>
        <v>-1.4740540772164357E-2</v>
      </c>
      <c r="AD75" s="22">
        <f t="shared" si="74"/>
        <v>1.123694337548109E-2</v>
      </c>
      <c r="AE75" s="22">
        <f t="shared" si="75"/>
        <v>-0.15367343934040045</v>
      </c>
      <c r="AF75" s="4">
        <f t="shared" si="76"/>
        <v>13.675733178091342</v>
      </c>
      <c r="AG75" s="3" t="str">
        <f t="shared" si="77"/>
        <v/>
      </c>
      <c r="AH75" s="79" t="str">
        <f t="shared" si="78"/>
        <v/>
      </c>
    </row>
    <row r="76" spans="1:34" x14ac:dyDescent="0.25">
      <c r="B76" s="80" t="s">
        <v>38</v>
      </c>
      <c r="C76" s="65">
        <f t="shared" si="51"/>
        <v>0.54</v>
      </c>
      <c r="D76" s="66">
        <f t="shared" si="80"/>
        <v>1018.9</v>
      </c>
      <c r="E76" s="67">
        <v>46032</v>
      </c>
      <c r="F76" s="68" t="s">
        <v>1</v>
      </c>
      <c r="G76" s="69">
        <f t="shared" si="86"/>
        <v>2.7506529127017789E-3</v>
      </c>
      <c r="H76" s="82"/>
      <c r="I76" s="70" t="str">
        <f t="shared" si="81"/>
        <v/>
      </c>
      <c r="J76" s="71">
        <v>44.3</v>
      </c>
      <c r="K76" s="72">
        <v>43.32</v>
      </c>
      <c r="L76" s="73">
        <v>49.86</v>
      </c>
      <c r="M76" s="83">
        <v>23</v>
      </c>
      <c r="N76" s="67"/>
      <c r="O76" s="70" t="str">
        <f t="shared" si="61"/>
        <v/>
      </c>
      <c r="P76" s="3" t="str">
        <f t="shared" si="62"/>
        <v/>
      </c>
      <c r="Q76" s="75" t="str">
        <f t="shared" si="63"/>
        <v/>
      </c>
      <c r="R76" s="3">
        <f t="shared" si="64"/>
        <v>-22.539999999999928</v>
      </c>
      <c r="S76" s="75">
        <f t="shared" si="65"/>
        <v>-2.2121896162528146E-2</v>
      </c>
      <c r="T76" s="67"/>
      <c r="U76" s="70" t="str">
        <f t="shared" si="66"/>
        <v/>
      </c>
      <c r="V76" s="3" t="str">
        <f t="shared" si="67"/>
        <v/>
      </c>
      <c r="W76" s="75" t="str">
        <f t="shared" si="68"/>
        <v/>
      </c>
      <c r="X76" s="76">
        <f t="shared" si="69"/>
        <v>127.88000000000005</v>
      </c>
      <c r="Y76" s="75">
        <f t="shared" si="70"/>
        <v>0.12550790067720097</v>
      </c>
      <c r="Z76" s="77">
        <f t="shared" si="71"/>
        <v>5.6734693877551221</v>
      </c>
      <c r="AA76" s="78">
        <f t="shared" si="83"/>
        <v>48.73</v>
      </c>
      <c r="AB76" s="70" t="str">
        <f t="shared" ca="1" si="72"/>
        <v/>
      </c>
      <c r="AC76" s="75">
        <f t="shared" si="73"/>
        <v>0.10000000000000009</v>
      </c>
      <c r="AD76" s="22">
        <f t="shared" si="74"/>
        <v>0.12488457987072943</v>
      </c>
      <c r="AE76" s="22">
        <f t="shared" si="75"/>
        <v>-2.2663457681508237E-2</v>
      </c>
      <c r="AF76" s="4">
        <f t="shared" si="76"/>
        <v>0.18147522860682755</v>
      </c>
      <c r="AG76" s="3" t="str">
        <f t="shared" si="77"/>
        <v/>
      </c>
      <c r="AH76" s="79" t="str">
        <f t="shared" si="78"/>
        <v/>
      </c>
    </row>
    <row r="77" spans="1:34" x14ac:dyDescent="0.25">
      <c r="B77" s="80" t="s">
        <v>29</v>
      </c>
      <c r="C77" s="65">
        <f t="shared" si="51"/>
        <v>0.5</v>
      </c>
      <c r="D77" s="66">
        <f t="shared" si="80"/>
        <v>1088.0999999999999</v>
      </c>
      <c r="E77" s="67">
        <v>46032</v>
      </c>
      <c r="F77" s="68" t="s">
        <v>1</v>
      </c>
      <c r="G77" s="69">
        <f t="shared" si="82"/>
        <v>1.1722527269961481E-3</v>
      </c>
      <c r="H77" s="82"/>
      <c r="I77" s="70" t="str">
        <f t="shared" si="81"/>
        <v/>
      </c>
      <c r="J77" s="71">
        <v>362.7</v>
      </c>
      <c r="K77" s="72">
        <v>343</v>
      </c>
      <c r="L77" s="73">
        <v>398.5</v>
      </c>
      <c r="M77" s="83">
        <v>3</v>
      </c>
      <c r="N77" s="67"/>
      <c r="O77" s="70" t="str">
        <f t="shared" si="61"/>
        <v/>
      </c>
      <c r="P77" s="3" t="str">
        <f t="shared" si="62"/>
        <v/>
      </c>
      <c r="Q77" s="75" t="str">
        <f t="shared" si="63"/>
        <v/>
      </c>
      <c r="R77" s="3">
        <f t="shared" si="64"/>
        <v>-59.099999999999966</v>
      </c>
      <c r="S77" s="75">
        <f t="shared" si="65"/>
        <v>-5.4314860766473641E-2</v>
      </c>
      <c r="T77" s="67"/>
      <c r="U77" s="70" t="str">
        <f t="shared" si="66"/>
        <v/>
      </c>
      <c r="V77" s="3" t="str">
        <f t="shared" si="67"/>
        <v/>
      </c>
      <c r="W77" s="75" t="str">
        <f t="shared" si="68"/>
        <v/>
      </c>
      <c r="X77" s="76">
        <f t="shared" si="69"/>
        <v>107.40000000000003</v>
      </c>
      <c r="Y77" s="75">
        <f t="shared" si="70"/>
        <v>9.8704163220292296E-2</v>
      </c>
      <c r="Z77" s="77">
        <f t="shared" si="71"/>
        <v>1.8172588832487326</v>
      </c>
      <c r="AA77" s="78">
        <f t="shared" si="83"/>
        <v>386.2</v>
      </c>
      <c r="AB77" s="70" t="str">
        <f t="shared" ca="1" si="72"/>
        <v/>
      </c>
      <c r="AC77" s="75">
        <f t="shared" si="73"/>
        <v>6.4791838985387429E-2</v>
      </c>
      <c r="AD77" s="22">
        <f t="shared" si="74"/>
        <v>0.1259475218658892</v>
      </c>
      <c r="AE77" s="22">
        <f t="shared" si="75"/>
        <v>-3.0865746549560868E-2</v>
      </c>
      <c r="AF77" s="4">
        <f t="shared" si="76"/>
        <v>0.24506831172452265</v>
      </c>
      <c r="AG77" s="3" t="str">
        <f t="shared" si="77"/>
        <v/>
      </c>
      <c r="AH77" s="79" t="str">
        <f t="shared" si="78"/>
        <v/>
      </c>
    </row>
    <row r="78" spans="1:34" x14ac:dyDescent="0.25">
      <c r="B78" s="80" t="s">
        <v>43</v>
      </c>
      <c r="C78" s="65">
        <f t="shared" si="51"/>
        <v>0.59</v>
      </c>
      <c r="D78" s="66">
        <f t="shared" si="80"/>
        <v>1162.52</v>
      </c>
      <c r="E78" s="67">
        <v>46030</v>
      </c>
      <c r="F78" s="68" t="s">
        <v>1</v>
      </c>
      <c r="G78" s="69">
        <f t="shared" si="21"/>
        <v>1.158118200038798E-2</v>
      </c>
      <c r="H78" s="82"/>
      <c r="I78" s="70" t="str">
        <f t="shared" si="81"/>
        <v/>
      </c>
      <c r="J78" s="71">
        <v>581.26</v>
      </c>
      <c r="K78" s="72">
        <v>548.29</v>
      </c>
      <c r="L78" s="73">
        <v>637.67999999999995</v>
      </c>
      <c r="M78" s="83">
        <v>2</v>
      </c>
      <c r="N78" s="67"/>
      <c r="O78" s="70" t="str">
        <f t="shared" si="61"/>
        <v/>
      </c>
      <c r="P78" s="3" t="str">
        <f t="shared" si="62"/>
        <v/>
      </c>
      <c r="Q78" s="75" t="str">
        <f t="shared" si="63"/>
        <v/>
      </c>
      <c r="R78" s="3">
        <f t="shared" si="64"/>
        <v>-65.940000000000055</v>
      </c>
      <c r="S78" s="75">
        <f t="shared" si="65"/>
        <v>-5.6721604789595065E-2</v>
      </c>
      <c r="T78" s="67"/>
      <c r="U78" s="70" t="str">
        <f t="shared" si="66"/>
        <v/>
      </c>
      <c r="V78" s="3" t="str">
        <f t="shared" si="67"/>
        <v/>
      </c>
      <c r="W78" s="75" t="str">
        <f t="shared" si="68"/>
        <v/>
      </c>
      <c r="X78" s="76">
        <f t="shared" si="69"/>
        <v>112.83999999999992</v>
      </c>
      <c r="Y78" s="75">
        <f t="shared" si="70"/>
        <v>9.7064996731238959E-2</v>
      </c>
      <c r="Z78" s="77">
        <f t="shared" si="71"/>
        <v>1.7112526539278106</v>
      </c>
      <c r="AA78" s="78">
        <f t="shared" si="83"/>
        <v>666.9</v>
      </c>
      <c r="AB78" s="70" t="str">
        <f t="shared" ca="1" si="72"/>
        <v/>
      </c>
      <c r="AC78" s="75">
        <f t="shared" si="73"/>
        <v>0.14733509961118951</v>
      </c>
      <c r="AD78" s="22">
        <f t="shared" si="74"/>
        <v>0.21632712615586636</v>
      </c>
      <c r="AE78" s="22">
        <f t="shared" si="75"/>
        <v>4.5822356040647438E-2</v>
      </c>
      <c r="AF78" s="4">
        <f t="shared" si="76"/>
        <v>-0.21181974195705752</v>
      </c>
      <c r="AG78" s="3" t="str">
        <f t="shared" si="77"/>
        <v/>
      </c>
      <c r="AH78" s="79" t="str">
        <f t="shared" si="78"/>
        <v/>
      </c>
    </row>
    <row r="79" spans="1:34" x14ac:dyDescent="0.25">
      <c r="A79" s="63">
        <v>14</v>
      </c>
      <c r="B79" s="84" t="s">
        <v>121</v>
      </c>
      <c r="C79" s="65" t="e">
        <f t="shared" si="51"/>
        <v>#N/A</v>
      </c>
      <c r="D79" s="66">
        <f t="shared" si="80"/>
        <v>980.4</v>
      </c>
      <c r="E79" s="67">
        <v>46024</v>
      </c>
      <c r="F79" s="68" t="s">
        <v>95</v>
      </c>
      <c r="G79" s="69" t="e">
        <f t="shared" ref="G79:G81" si="87">VLOOKUP(B79,DataTrend,2,FALSE)</f>
        <v>#N/A</v>
      </c>
      <c r="H79" s="67">
        <v>46027</v>
      </c>
      <c r="I79" s="70">
        <f t="shared" si="81"/>
        <v>3</v>
      </c>
      <c r="J79" s="71">
        <v>25.8</v>
      </c>
      <c r="K79" s="72">
        <v>25.7</v>
      </c>
      <c r="L79" s="73">
        <v>27.62</v>
      </c>
      <c r="M79" s="83">
        <v>38</v>
      </c>
      <c r="N79" s="67">
        <v>46027</v>
      </c>
      <c r="O79" s="70">
        <f t="shared" si="61"/>
        <v>0</v>
      </c>
      <c r="P79" s="3">
        <f t="shared" si="62"/>
        <v>-3.800000000000054</v>
      </c>
      <c r="Q79" s="75">
        <f t="shared" si="63"/>
        <v>-3.875968992248117E-3</v>
      </c>
      <c r="R79" s="3">
        <f t="shared" si="64"/>
        <v>-3.800000000000054</v>
      </c>
      <c r="S79" s="75">
        <f t="shared" si="65"/>
        <v>-3.875968992248117E-3</v>
      </c>
      <c r="T79" s="67"/>
      <c r="U79" s="70" t="str">
        <f t="shared" si="66"/>
        <v/>
      </c>
      <c r="V79" s="3" t="str">
        <f t="shared" si="67"/>
        <v/>
      </c>
      <c r="W79" s="75" t="str">
        <f t="shared" si="68"/>
        <v/>
      </c>
      <c r="X79" s="76">
        <f t="shared" si="69"/>
        <v>69.160000000000011</v>
      </c>
      <c r="Y79" s="75">
        <f t="shared" si="70"/>
        <v>7.0542635658914735E-2</v>
      </c>
      <c r="Z79" s="77">
        <f t="shared" si="71"/>
        <v>18.199999999999743</v>
      </c>
      <c r="AA79" s="78">
        <v>25.7</v>
      </c>
      <c r="AB79" s="70" t="str">
        <f t="shared" ca="1" si="72"/>
        <v/>
      </c>
      <c r="AC79" s="75" t="str">
        <f t="shared" si="73"/>
        <v/>
      </c>
      <c r="AD79" s="22" t="str">
        <f t="shared" si="74"/>
        <v/>
      </c>
      <c r="AE79" s="22" t="str">
        <f t="shared" si="75"/>
        <v/>
      </c>
      <c r="AF79" s="4" t="str">
        <f t="shared" si="76"/>
        <v/>
      </c>
      <c r="AG79" s="3" t="str">
        <f t="shared" si="77"/>
        <v/>
      </c>
      <c r="AH79" s="79" t="str">
        <f t="shared" si="78"/>
        <v/>
      </c>
    </row>
    <row r="80" spans="1:34" x14ac:dyDescent="0.25">
      <c r="A80" s="63">
        <v>4</v>
      </c>
      <c r="B80" s="84" t="s">
        <v>114</v>
      </c>
      <c r="C80" s="65" t="e">
        <f t="shared" ref="C80:C81" si="88">VLOOKUP(B80,Probabilidad,$C$115,FALSE)</f>
        <v>#N/A</v>
      </c>
      <c r="D80" s="66">
        <f t="shared" si="80"/>
        <v>1005.48</v>
      </c>
      <c r="E80" s="67">
        <v>45986</v>
      </c>
      <c r="F80" s="68" t="s">
        <v>95</v>
      </c>
      <c r="G80" s="69" t="e">
        <f t="shared" si="87"/>
        <v>#N/A</v>
      </c>
      <c r="H80" s="67">
        <v>45985</v>
      </c>
      <c r="I80" s="70">
        <f t="shared" si="81"/>
        <v>-1</v>
      </c>
      <c r="J80" s="71">
        <v>26.46</v>
      </c>
      <c r="K80" s="72">
        <v>25.8</v>
      </c>
      <c r="L80" s="73">
        <v>28.8</v>
      </c>
      <c r="M80" s="83">
        <v>38</v>
      </c>
      <c r="N80" s="67">
        <v>46001</v>
      </c>
      <c r="O80" s="70">
        <f t="shared" si="61"/>
        <v>16</v>
      </c>
      <c r="P80" s="3">
        <f t="shared" si="62"/>
        <v>-64.599999999999966</v>
      </c>
      <c r="Q80" s="75">
        <f t="shared" si="63"/>
        <v>-6.4247921390778492E-2</v>
      </c>
      <c r="R80" s="3">
        <f t="shared" si="64"/>
        <v>-25.080000000000005</v>
      </c>
      <c r="S80" s="75">
        <f t="shared" si="65"/>
        <v>-2.4943310657596376E-2</v>
      </c>
      <c r="T80" s="67"/>
      <c r="U80" s="70" t="str">
        <f t="shared" si="66"/>
        <v/>
      </c>
      <c r="V80" s="3" t="str">
        <f t="shared" si="67"/>
        <v/>
      </c>
      <c r="W80" s="75" t="str">
        <f t="shared" si="68"/>
        <v/>
      </c>
      <c r="X80" s="76">
        <f t="shared" si="69"/>
        <v>88.919999999999987</v>
      </c>
      <c r="Y80" s="75">
        <f t="shared" si="70"/>
        <v>8.8435374149659851E-2</v>
      </c>
      <c r="Z80" s="77">
        <f t="shared" si="71"/>
        <v>3.5454545454545441</v>
      </c>
      <c r="AA80" s="78">
        <v>24.76</v>
      </c>
      <c r="AB80" s="70" t="str">
        <f t="shared" ca="1" si="72"/>
        <v/>
      </c>
      <c r="AC80" s="75" t="str">
        <f t="shared" si="73"/>
        <v/>
      </c>
      <c r="AD80" s="22" t="str">
        <f t="shared" si="74"/>
        <v/>
      </c>
      <c r="AE80" s="22" t="str">
        <f t="shared" si="75"/>
        <v/>
      </c>
      <c r="AF80" s="4" t="str">
        <f t="shared" si="76"/>
        <v/>
      </c>
      <c r="AG80" s="3" t="str">
        <f t="shared" si="77"/>
        <v/>
      </c>
      <c r="AH80" s="79" t="str">
        <f t="shared" si="78"/>
        <v/>
      </c>
    </row>
    <row r="81" spans="1:34" x14ac:dyDescent="0.25">
      <c r="A81" s="63">
        <v>27</v>
      </c>
      <c r="B81" s="84" t="s">
        <v>136</v>
      </c>
      <c r="C81" s="65" t="e">
        <f t="shared" si="88"/>
        <v>#N/A</v>
      </c>
      <c r="D81" s="66">
        <f t="shared" si="80"/>
        <v>970.52</v>
      </c>
      <c r="E81" s="67">
        <v>46035</v>
      </c>
      <c r="F81" s="68" t="s">
        <v>95</v>
      </c>
      <c r="G81" s="69" t="e">
        <f t="shared" si="87"/>
        <v>#N/A</v>
      </c>
      <c r="H81" s="67">
        <v>46034</v>
      </c>
      <c r="I81" s="70">
        <f t="shared" si="81"/>
        <v>-1</v>
      </c>
      <c r="J81" s="71">
        <v>25.54</v>
      </c>
      <c r="K81" s="72">
        <v>25.16</v>
      </c>
      <c r="L81" s="73">
        <v>27.34</v>
      </c>
      <c r="M81" s="83">
        <v>38</v>
      </c>
      <c r="N81" s="67">
        <v>46035</v>
      </c>
      <c r="O81" s="70">
        <f t="shared" si="61"/>
        <v>1</v>
      </c>
      <c r="P81" s="3">
        <f t="shared" si="62"/>
        <v>-14.439999999999962</v>
      </c>
      <c r="Q81" s="75">
        <f t="shared" si="63"/>
        <v>-1.4878621769772867E-2</v>
      </c>
      <c r="R81" s="3">
        <f t="shared" si="64"/>
        <v>-14.439999999999962</v>
      </c>
      <c r="S81" s="75">
        <f t="shared" si="65"/>
        <v>-1.4878621769772867E-2</v>
      </c>
      <c r="T81" s="67"/>
      <c r="U81" s="70" t="str">
        <f t="shared" si="66"/>
        <v/>
      </c>
      <c r="V81" s="3" t="str">
        <f t="shared" si="67"/>
        <v/>
      </c>
      <c r="W81" s="75" t="str">
        <f t="shared" si="68"/>
        <v/>
      </c>
      <c r="X81" s="76">
        <f t="shared" si="69"/>
        <v>68.400000000000034</v>
      </c>
      <c r="Y81" s="75">
        <f t="shared" si="70"/>
        <v>7.0477682067345379E-2</v>
      </c>
      <c r="Z81" s="77">
        <f t="shared" si="71"/>
        <v>4.7368421052631726</v>
      </c>
      <c r="AA81" s="78">
        <v>25.16</v>
      </c>
      <c r="AB81" s="70" t="str">
        <f t="shared" ca="1" si="72"/>
        <v/>
      </c>
      <c r="AC81" s="75" t="str">
        <f t="shared" si="73"/>
        <v/>
      </c>
      <c r="AD81" s="22" t="str">
        <f t="shared" si="74"/>
        <v/>
      </c>
      <c r="AE81" s="22" t="str">
        <f t="shared" si="75"/>
        <v/>
      </c>
      <c r="AF81" s="4" t="str">
        <f t="shared" si="76"/>
        <v/>
      </c>
      <c r="AG81" s="3" t="str">
        <f t="shared" si="77"/>
        <v/>
      </c>
      <c r="AH81" s="79" t="str">
        <f t="shared" si="78"/>
        <v/>
      </c>
    </row>
    <row r="82" spans="1:34" x14ac:dyDescent="0.25">
      <c r="B82" s="84" t="s">
        <v>19</v>
      </c>
      <c r="C82" s="65">
        <f t="shared" si="51"/>
        <v>0.56999999999999995</v>
      </c>
      <c r="D82" s="66">
        <f t="shared" si="80"/>
        <v>946.19999999999993</v>
      </c>
      <c r="E82" s="67">
        <v>46035</v>
      </c>
      <c r="F82" s="68" t="s">
        <v>1</v>
      </c>
      <c r="G82" s="69">
        <f t="shared" si="21"/>
        <v>2.4410664435816631E-3</v>
      </c>
      <c r="H82" s="67"/>
      <c r="I82" s="70" t="str">
        <f t="shared" si="81"/>
        <v/>
      </c>
      <c r="J82" s="71">
        <v>24.9</v>
      </c>
      <c r="K82" s="72">
        <v>24.24</v>
      </c>
      <c r="L82" s="73">
        <v>26.44</v>
      </c>
      <c r="M82" s="83">
        <v>38</v>
      </c>
      <c r="N82" s="67"/>
      <c r="O82" s="70" t="str">
        <f t="shared" si="61"/>
        <v/>
      </c>
      <c r="P82" s="3" t="str">
        <f t="shared" si="62"/>
        <v/>
      </c>
      <c r="Q82" s="75" t="str">
        <f t="shared" si="63"/>
        <v/>
      </c>
      <c r="R82" s="3">
        <f t="shared" si="64"/>
        <v>-25.080000000000005</v>
      </c>
      <c r="S82" s="75">
        <f t="shared" si="65"/>
        <v>-2.6506024096385548E-2</v>
      </c>
      <c r="T82" s="67"/>
      <c r="U82" s="70" t="str">
        <f t="shared" si="66"/>
        <v/>
      </c>
      <c r="V82" s="3" t="str">
        <f t="shared" si="67"/>
        <v/>
      </c>
      <c r="W82" s="75" t="str">
        <f t="shared" si="68"/>
        <v/>
      </c>
      <c r="X82" s="76">
        <f t="shared" si="69"/>
        <v>58.520000000000103</v>
      </c>
      <c r="Y82" s="75">
        <f t="shared" si="70"/>
        <v>6.1847389558233046E-2</v>
      </c>
      <c r="Z82" s="77">
        <f t="shared" si="71"/>
        <v>2.333333333333337</v>
      </c>
      <c r="AA82" s="78">
        <f>VLOOKUP(B82,EntradaDatos,$AA$115,FALSE)</f>
        <v>25.7</v>
      </c>
      <c r="AB82" s="70" t="str">
        <f t="shared" ca="1" si="72"/>
        <v/>
      </c>
      <c r="AC82" s="75">
        <f t="shared" si="73"/>
        <v>3.2128514056224855E-2</v>
      </c>
      <c r="AD82" s="22">
        <f t="shared" si="74"/>
        <v>6.0231023102310211E-2</v>
      </c>
      <c r="AE82" s="22">
        <f t="shared" si="75"/>
        <v>-2.7987897125567374E-2</v>
      </c>
      <c r="AF82" s="4">
        <f t="shared" si="76"/>
        <v>0.46467577145462557</v>
      </c>
      <c r="AG82" s="3" t="str">
        <f t="shared" si="77"/>
        <v/>
      </c>
      <c r="AH82" s="79" t="str">
        <f t="shared" si="78"/>
        <v/>
      </c>
    </row>
    <row r="83" spans="1:34" x14ac:dyDescent="0.25">
      <c r="B83" s="80" t="s">
        <v>87</v>
      </c>
      <c r="C83" s="65">
        <f t="shared" si="51"/>
        <v>0.57999999999999996</v>
      </c>
      <c r="D83" s="66">
        <f t="shared" si="80"/>
        <v>1073.28</v>
      </c>
      <c r="E83" s="67">
        <v>45985</v>
      </c>
      <c r="F83" s="68" t="s">
        <v>60</v>
      </c>
      <c r="G83" s="69">
        <f t="shared" si="21"/>
        <v>1.3520439842492848E-3</v>
      </c>
      <c r="H83" s="67">
        <v>45985</v>
      </c>
      <c r="I83" s="70">
        <f t="shared" si="81"/>
        <v>0</v>
      </c>
      <c r="J83" s="71">
        <v>178.88</v>
      </c>
      <c r="K83" s="72">
        <v>150</v>
      </c>
      <c r="L83" s="73">
        <v>220</v>
      </c>
      <c r="M83" s="83">
        <v>6</v>
      </c>
      <c r="N83" s="67"/>
      <c r="O83" s="70" t="str">
        <f t="shared" si="61"/>
        <v/>
      </c>
      <c r="P83" s="3" t="str">
        <f t="shared" si="62"/>
        <v/>
      </c>
      <c r="Q83" s="75" t="str">
        <f t="shared" si="63"/>
        <v/>
      </c>
      <c r="R83" s="3">
        <f t="shared" si="64"/>
        <v>-173.27999999999997</v>
      </c>
      <c r="S83" s="75">
        <f t="shared" si="65"/>
        <v>-0.16144901610017887</v>
      </c>
      <c r="T83" s="67"/>
      <c r="U83" s="70" t="str">
        <f t="shared" si="66"/>
        <v/>
      </c>
      <c r="V83" s="3" t="str">
        <f t="shared" si="67"/>
        <v/>
      </c>
      <c r="W83" s="75" t="str">
        <f t="shared" si="68"/>
        <v/>
      </c>
      <c r="X83" s="76">
        <f t="shared" si="69"/>
        <v>246.72000000000003</v>
      </c>
      <c r="Y83" s="75">
        <f t="shared" si="70"/>
        <v>0.22987477638640433</v>
      </c>
      <c r="Z83" s="77">
        <f t="shared" si="71"/>
        <v>1.4238227146814408</v>
      </c>
      <c r="AA83" s="78">
        <f>VLOOKUP(B83,EntradaDatos,$AA$115,FALSE)</f>
        <v>186.23</v>
      </c>
      <c r="AB83" s="70">
        <f t="shared" ca="1" si="72"/>
        <v>54</v>
      </c>
      <c r="AC83" s="75" t="str">
        <f t="shared" si="73"/>
        <v/>
      </c>
      <c r="AD83" s="22">
        <f t="shared" si="74"/>
        <v>0.24153333333333316</v>
      </c>
      <c r="AE83" s="22">
        <f t="shared" si="75"/>
        <v>-0.15350000000000008</v>
      </c>
      <c r="AF83" s="4">
        <f t="shared" si="76"/>
        <v>0.63552304719845509</v>
      </c>
      <c r="AG83" s="3">
        <f t="shared" si="77"/>
        <v>44.099999999999888</v>
      </c>
      <c r="AH83" s="79">
        <f t="shared" si="78"/>
        <v>4.1088998211091132E-2</v>
      </c>
    </row>
    <row r="84" spans="1:34" x14ac:dyDescent="0.25">
      <c r="B84" s="80" t="s">
        <v>20</v>
      </c>
      <c r="C84" s="65">
        <f t="shared" si="51"/>
        <v>0.5</v>
      </c>
      <c r="D84" s="66">
        <f t="shared" si="80"/>
        <v>993.51</v>
      </c>
      <c r="E84" s="67">
        <v>46032</v>
      </c>
      <c r="F84" s="68" t="s">
        <v>1</v>
      </c>
      <c r="G84" s="69">
        <f t="shared" ref="G84" si="89">VLOOKUP(B84,DataTrend,2,FALSE)</f>
        <v>-8.136522785121336E-4</v>
      </c>
      <c r="H84" s="82"/>
      <c r="I84" s="70" t="str">
        <f t="shared" si="81"/>
        <v/>
      </c>
      <c r="J84" s="71">
        <v>17.43</v>
      </c>
      <c r="K84" s="72">
        <v>16.899999999999999</v>
      </c>
      <c r="L84" s="73">
        <v>19.39</v>
      </c>
      <c r="M84" s="83">
        <v>57</v>
      </c>
      <c r="N84" s="67"/>
      <c r="O84" s="70"/>
      <c r="P84" s="3"/>
      <c r="Q84" s="75"/>
      <c r="R84" s="3">
        <f t="shared" si="64"/>
        <v>-30.210000000000065</v>
      </c>
      <c r="S84" s="75">
        <f t="shared" si="65"/>
        <v>-3.0407343660355773E-2</v>
      </c>
      <c r="T84" s="67"/>
      <c r="U84" s="70" t="str">
        <f t="shared" si="66"/>
        <v/>
      </c>
      <c r="V84" s="3" t="str">
        <f t="shared" si="67"/>
        <v/>
      </c>
      <c r="W84" s="75" t="str">
        <f t="shared" si="68"/>
        <v/>
      </c>
      <c r="X84" s="76">
        <f t="shared" si="69"/>
        <v>111.72000000000006</v>
      </c>
      <c r="Y84" s="75">
        <f t="shared" si="70"/>
        <v>0.1124497991967872</v>
      </c>
      <c r="Z84" s="77">
        <f t="shared" si="71"/>
        <v>3.6981132075471637</v>
      </c>
      <c r="AA84" s="78">
        <f>VLOOKUP(B84,EntradaDatos,$AA$115,FALSE)</f>
        <v>18</v>
      </c>
      <c r="AB84" s="70" t="str">
        <f t="shared" ca="1" si="72"/>
        <v/>
      </c>
      <c r="AC84" s="75">
        <f t="shared" si="73"/>
        <v>3.2702237521514688E-2</v>
      </c>
      <c r="AD84" s="22">
        <f t="shared" si="74"/>
        <v>6.5088757396449815E-2</v>
      </c>
      <c r="AE84" s="22">
        <f t="shared" si="75"/>
        <v>-7.1686436307374923E-2</v>
      </c>
      <c r="AF84" s="4">
        <f t="shared" si="76"/>
        <v>1.1013643396314856</v>
      </c>
      <c r="AG84" s="3" t="str">
        <f t="shared" si="77"/>
        <v/>
      </c>
      <c r="AH84" s="79" t="str">
        <f t="shared" si="78"/>
        <v/>
      </c>
    </row>
    <row r="85" spans="1:34" x14ac:dyDescent="0.25">
      <c r="A85" s="63">
        <v>1</v>
      </c>
      <c r="B85" s="84" t="s">
        <v>112</v>
      </c>
      <c r="C85" s="65" t="e">
        <f t="shared" si="51"/>
        <v>#N/A</v>
      </c>
      <c r="D85" s="66">
        <f t="shared" si="80"/>
        <v>930.06599999999992</v>
      </c>
      <c r="E85" s="67">
        <v>45982</v>
      </c>
      <c r="F85" s="68" t="s">
        <v>95</v>
      </c>
      <c r="G85" s="69" t="e">
        <f t="shared" si="21"/>
        <v>#N/A</v>
      </c>
      <c r="H85" s="67">
        <v>45979</v>
      </c>
      <c r="I85" s="70">
        <f t="shared" si="81"/>
        <v>-3</v>
      </c>
      <c r="J85" s="71">
        <v>0.40899999999999997</v>
      </c>
      <c r="K85" s="72">
        <v>0.4</v>
      </c>
      <c r="L85" s="73">
        <v>0.5</v>
      </c>
      <c r="M85" s="83">
        <v>2274</v>
      </c>
      <c r="N85" s="67">
        <v>45989</v>
      </c>
      <c r="O85" s="70">
        <f t="shared" si="61"/>
        <v>10</v>
      </c>
      <c r="P85" s="3">
        <f t="shared" si="62"/>
        <v>-20.465999999999891</v>
      </c>
      <c r="Q85" s="75">
        <f t="shared" si="63"/>
        <v>-2.2004889975550009E-2</v>
      </c>
      <c r="R85" s="3">
        <f t="shared" si="64"/>
        <v>-20.465999999999891</v>
      </c>
      <c r="S85" s="75">
        <f t="shared" si="65"/>
        <v>-2.2004889975550009E-2</v>
      </c>
      <c r="T85" s="67"/>
      <c r="U85" s="70" t="str">
        <f t="shared" si="66"/>
        <v/>
      </c>
      <c r="V85" s="3" t="str">
        <f t="shared" si="67"/>
        <v/>
      </c>
      <c r="W85" s="75" t="str">
        <f t="shared" si="68"/>
        <v/>
      </c>
      <c r="X85" s="76">
        <f t="shared" si="69"/>
        <v>206.93400000000005</v>
      </c>
      <c r="Y85" s="75">
        <f t="shared" si="70"/>
        <v>0.22249388753056243</v>
      </c>
      <c r="Z85" s="77">
        <f t="shared" si="71"/>
        <v>10.111111111111168</v>
      </c>
      <c r="AA85" s="78">
        <v>0.4</v>
      </c>
      <c r="AB85" s="70" t="str">
        <f t="shared" ca="1" si="72"/>
        <v/>
      </c>
      <c r="AC85" s="75" t="str">
        <f t="shared" si="73"/>
        <v/>
      </c>
      <c r="AD85" s="22" t="str">
        <f t="shared" si="74"/>
        <v/>
      </c>
      <c r="AE85" s="22" t="str">
        <f t="shared" si="75"/>
        <v/>
      </c>
      <c r="AF85" s="4" t="str">
        <f t="shared" si="76"/>
        <v/>
      </c>
      <c r="AG85" s="3" t="str">
        <f t="shared" si="77"/>
        <v/>
      </c>
      <c r="AH85" s="79" t="str">
        <f t="shared" si="78"/>
        <v/>
      </c>
    </row>
    <row r="86" spans="1:34" x14ac:dyDescent="0.25">
      <c r="B86" s="80" t="s">
        <v>93</v>
      </c>
      <c r="C86" s="65">
        <f t="shared" si="51"/>
        <v>0.48</v>
      </c>
      <c r="D86" s="66">
        <f t="shared" si="80"/>
        <v>834.92499999999995</v>
      </c>
      <c r="E86" s="67">
        <v>45995</v>
      </c>
      <c r="F86" s="68" t="s">
        <v>60</v>
      </c>
      <c r="G86" s="69">
        <f t="shared" si="21"/>
        <v>-5.255255255255253E-3</v>
      </c>
      <c r="H86" s="67">
        <v>45999</v>
      </c>
      <c r="I86" s="70">
        <f t="shared" si="81"/>
        <v>4</v>
      </c>
      <c r="J86" s="71">
        <v>0.36699999999999999</v>
      </c>
      <c r="K86" s="72">
        <v>0.28649999999999998</v>
      </c>
      <c r="L86" s="73">
        <v>0.48699999999999999</v>
      </c>
      <c r="M86" s="83">
        <v>2275</v>
      </c>
      <c r="N86" s="67"/>
      <c r="O86" s="70" t="str">
        <f t="shared" si="61"/>
        <v/>
      </c>
      <c r="P86" s="3" t="str">
        <f t="shared" si="62"/>
        <v/>
      </c>
      <c r="Q86" s="75" t="str">
        <f t="shared" si="63"/>
        <v/>
      </c>
      <c r="R86" s="3">
        <f t="shared" si="64"/>
        <v>-183.13750000000005</v>
      </c>
      <c r="S86" s="75">
        <f t="shared" si="65"/>
        <v>-0.2193460490463216</v>
      </c>
      <c r="T86" s="67"/>
      <c r="U86" s="70" t="str">
        <f t="shared" si="66"/>
        <v/>
      </c>
      <c r="V86" s="3" t="str">
        <f t="shared" si="67"/>
        <v/>
      </c>
      <c r="W86" s="75" t="str">
        <f t="shared" si="68"/>
        <v/>
      </c>
      <c r="X86" s="76">
        <f t="shared" si="69"/>
        <v>273</v>
      </c>
      <c r="Y86" s="75">
        <f t="shared" si="70"/>
        <v>0.32697547683923706</v>
      </c>
      <c r="Z86" s="77">
        <f t="shared" si="71"/>
        <v>1.4906832298136643</v>
      </c>
      <c r="AA86" s="78">
        <f>VLOOKUP(B86,EntradaDatos,$AA$115,FALSE)</f>
        <v>0.36</v>
      </c>
      <c r="AB86" s="70">
        <f t="shared" ca="1" si="72"/>
        <v>40</v>
      </c>
      <c r="AC86" s="75" t="str">
        <f t="shared" si="73"/>
        <v/>
      </c>
      <c r="AD86" s="22">
        <f t="shared" si="74"/>
        <v>0.25654450261780104</v>
      </c>
      <c r="AE86" s="22">
        <f t="shared" si="75"/>
        <v>-0.26078028747433268</v>
      </c>
      <c r="AF86" s="4">
        <f t="shared" si="76"/>
        <v>1.0165109164815824</v>
      </c>
      <c r="AG86" s="3">
        <f t="shared" si="77"/>
        <v>-15.925000000000049</v>
      </c>
      <c r="AH86" s="79">
        <f t="shared" si="78"/>
        <v>-1.9073569482288888E-2</v>
      </c>
    </row>
    <row r="87" spans="1:34" x14ac:dyDescent="0.25">
      <c r="B87" s="80" t="s">
        <v>88</v>
      </c>
      <c r="C87" s="65">
        <f t="shared" si="51"/>
        <v>0.55000000000000004</v>
      </c>
      <c r="D87" s="66">
        <f t="shared" si="80"/>
        <v>1023.3000000000001</v>
      </c>
      <c r="E87" s="67">
        <v>46025</v>
      </c>
      <c r="F87" s="68" t="s">
        <v>60</v>
      </c>
      <c r="G87" s="69">
        <f t="shared" ref="G87:G88" si="90">VLOOKUP(B87,DataTrend,2,FALSE)</f>
        <v>-8.2294891524271156E-3</v>
      </c>
      <c r="H87" s="67">
        <v>46027</v>
      </c>
      <c r="I87" s="70">
        <f t="shared" si="81"/>
        <v>2</v>
      </c>
      <c r="J87" s="71">
        <v>170.55</v>
      </c>
      <c r="K87" s="72">
        <v>147</v>
      </c>
      <c r="L87" s="73">
        <v>210</v>
      </c>
      <c r="M87" s="83">
        <v>6</v>
      </c>
      <c r="N87" s="67"/>
      <c r="O87" s="70" t="str">
        <f t="shared" si="61"/>
        <v/>
      </c>
      <c r="P87" s="3" t="str">
        <f t="shared" si="62"/>
        <v/>
      </c>
      <c r="Q87" s="75" t="str">
        <f t="shared" si="63"/>
        <v/>
      </c>
      <c r="R87" s="3">
        <f t="shared" si="64"/>
        <v>-141.30000000000007</v>
      </c>
      <c r="S87" s="75">
        <f t="shared" si="65"/>
        <v>-0.13808267370272653</v>
      </c>
      <c r="T87" s="67"/>
      <c r="U87" s="70" t="str">
        <f>IF(T87=0,"",-H87+T87)</f>
        <v/>
      </c>
      <c r="V87" s="3" t="str">
        <f>IF(T87&gt;0,(-J87+AA87)*M87,"")</f>
        <v/>
      </c>
      <c r="W87" s="75" t="str">
        <f>IF(V87="","",+V87/(J87*M87))</f>
        <v/>
      </c>
      <c r="X87" s="76">
        <f t="shared" si="69"/>
        <v>236.69999999999993</v>
      </c>
      <c r="Y87" s="75">
        <f t="shared" si="70"/>
        <v>0.23131046613896211</v>
      </c>
      <c r="Z87" s="77">
        <f t="shared" si="71"/>
        <v>1.6751592356687885</v>
      </c>
      <c r="AA87" s="78">
        <f>VLOOKUP(B87,EntradaDatos,$AA$115,FALSE)</f>
        <v>170.96</v>
      </c>
      <c r="AB87" s="70">
        <f t="shared" ca="1" si="72"/>
        <v>12</v>
      </c>
      <c r="AC87" s="75" t="str">
        <f t="shared" si="73"/>
        <v/>
      </c>
      <c r="AD87" s="22">
        <f t="shared" si="74"/>
        <v>0.16299319727891159</v>
      </c>
      <c r="AE87" s="22">
        <f t="shared" si="75"/>
        <v>-0.18590476190476191</v>
      </c>
      <c r="AF87" s="4">
        <f t="shared" si="76"/>
        <v>1.1405676126878128</v>
      </c>
      <c r="AG87" s="3">
        <f t="shared" si="77"/>
        <v>2.4599999999999818</v>
      </c>
      <c r="AH87" s="79">
        <f t="shared" si="78"/>
        <v>2.4039871005570035E-3</v>
      </c>
    </row>
    <row r="88" spans="1:34" x14ac:dyDescent="0.25">
      <c r="A88" s="63">
        <v>3</v>
      </c>
      <c r="B88" s="64" t="s">
        <v>98</v>
      </c>
      <c r="C88" s="65" t="e">
        <f t="shared" ref="C88" si="91">VLOOKUP(B88,Probabilidad,$C$115,FALSE)</f>
        <v>#N/A</v>
      </c>
      <c r="D88" s="66">
        <f t="shared" si="80"/>
        <v>967.02</v>
      </c>
      <c r="E88" s="67">
        <v>45986</v>
      </c>
      <c r="F88" s="68" t="s">
        <v>95</v>
      </c>
      <c r="G88" s="69" t="e">
        <f t="shared" si="90"/>
        <v>#N/A</v>
      </c>
      <c r="H88" s="67">
        <v>45985</v>
      </c>
      <c r="I88" s="70">
        <f t="shared" si="81"/>
        <v>-1</v>
      </c>
      <c r="J88" s="71">
        <v>161.16999999999999</v>
      </c>
      <c r="K88" s="72">
        <v>147</v>
      </c>
      <c r="L88" s="73">
        <v>190</v>
      </c>
      <c r="M88" s="83">
        <v>6</v>
      </c>
      <c r="N88" s="67"/>
      <c r="O88" s="70" t="str">
        <f t="shared" si="61"/>
        <v/>
      </c>
      <c r="P88" s="3" t="str">
        <f t="shared" si="62"/>
        <v/>
      </c>
      <c r="Q88" s="75" t="str">
        <f t="shared" si="63"/>
        <v/>
      </c>
      <c r="R88" s="3">
        <f t="shared" si="64"/>
        <v>-85.019999999999925</v>
      </c>
      <c r="S88" s="75">
        <f t="shared" si="65"/>
        <v>-8.7919588012657368E-2</v>
      </c>
      <c r="T88" s="67">
        <v>46001</v>
      </c>
      <c r="U88" s="70">
        <f t="shared" ref="U88" si="92">IF(T88=0,"",-H88+T88)</f>
        <v>16</v>
      </c>
      <c r="V88" s="3">
        <f>IF(T88&gt;0,(-J88+AA88)*M88,"")</f>
        <v>173.10000000000014</v>
      </c>
      <c r="W88" s="75">
        <f>IF(V88="","",+V88/(J88*M88))</f>
        <v>0.17900353663833235</v>
      </c>
      <c r="X88" s="76">
        <f t="shared" si="69"/>
        <v>172.98000000000008</v>
      </c>
      <c r="Y88" s="75">
        <f t="shared" si="70"/>
        <v>0.17887944406527279</v>
      </c>
      <c r="Z88" s="77">
        <f t="shared" si="71"/>
        <v>2.0345800988002849</v>
      </c>
      <c r="AA88" s="78">
        <v>190.02</v>
      </c>
      <c r="AB88" s="70" t="str">
        <f t="shared" ca="1" si="72"/>
        <v/>
      </c>
      <c r="AC88" s="75" t="str">
        <f t="shared" si="73"/>
        <v/>
      </c>
      <c r="AD88" s="22" t="str">
        <f t="shared" si="74"/>
        <v/>
      </c>
      <c r="AE88" s="22" t="str">
        <f t="shared" si="75"/>
        <v/>
      </c>
      <c r="AF88" s="4" t="str">
        <f t="shared" si="76"/>
        <v/>
      </c>
      <c r="AG88" s="3" t="str">
        <f t="shared" si="77"/>
        <v/>
      </c>
      <c r="AH88" s="79" t="str">
        <f t="shared" si="78"/>
        <v/>
      </c>
    </row>
    <row r="89" spans="1:34" x14ac:dyDescent="0.25">
      <c r="B89" s="64" t="s">
        <v>88</v>
      </c>
      <c r="C89" s="65">
        <f t="shared" si="51"/>
        <v>0.55000000000000004</v>
      </c>
      <c r="D89" s="66">
        <f t="shared" si="80"/>
        <v>1048.68</v>
      </c>
      <c r="E89" s="67">
        <v>46033</v>
      </c>
      <c r="F89" s="68" t="s">
        <v>180</v>
      </c>
      <c r="G89" s="69">
        <f t="shared" si="21"/>
        <v>-8.2294891524271156E-3</v>
      </c>
      <c r="H89" s="67">
        <v>46034</v>
      </c>
      <c r="I89" s="70">
        <f t="shared" si="81"/>
        <v>1</v>
      </c>
      <c r="J89" s="71">
        <v>174.78</v>
      </c>
      <c r="K89" s="72">
        <v>167.42</v>
      </c>
      <c r="L89" s="73">
        <v>198.35</v>
      </c>
      <c r="M89" s="83">
        <v>6</v>
      </c>
      <c r="N89" s="67"/>
      <c r="O89" s="70" t="str">
        <f t="shared" si="61"/>
        <v/>
      </c>
      <c r="P89" s="3" t="str">
        <f t="shared" si="62"/>
        <v/>
      </c>
      <c r="Q89" s="75" t="str">
        <f t="shared" si="63"/>
        <v/>
      </c>
      <c r="R89" s="3">
        <f t="shared" si="64"/>
        <v>-44.160000000000082</v>
      </c>
      <c r="S89" s="75">
        <f t="shared" si="65"/>
        <v>-4.2110081244993783E-2</v>
      </c>
      <c r="T89" s="67"/>
      <c r="U89" s="70" t="str">
        <f t="shared" si="66"/>
        <v/>
      </c>
      <c r="V89" s="3" t="str">
        <f>IF(T89&gt;0,(-J89+AA89)*M89,"")</f>
        <v/>
      </c>
      <c r="W89" s="75" t="str">
        <f>IF(V89="","",+V89/(J89*M89))</f>
        <v/>
      </c>
      <c r="X89" s="76">
        <f t="shared" si="69"/>
        <v>141.41999999999996</v>
      </c>
      <c r="Y89" s="75">
        <f t="shared" si="70"/>
        <v>0.13485524659572029</v>
      </c>
      <c r="Z89" s="77">
        <f t="shared" si="71"/>
        <v>3.202445652173906</v>
      </c>
      <c r="AA89" s="78">
        <f>VLOOKUP(B89,EntradaDatos,$AA$115,FALSE)</f>
        <v>170.96</v>
      </c>
      <c r="AB89" s="70">
        <f t="shared" ca="1" si="72"/>
        <v>5</v>
      </c>
      <c r="AC89" s="75" t="str">
        <f t="shared" si="73"/>
        <v/>
      </c>
      <c r="AD89" s="22">
        <f t="shared" si="74"/>
        <v>2.1144427189105475E-2</v>
      </c>
      <c r="AE89" s="22">
        <f t="shared" si="75"/>
        <v>-0.13808923619863867</v>
      </c>
      <c r="AF89" s="4">
        <f t="shared" si="76"/>
        <v>6.530762690501648</v>
      </c>
      <c r="AG89" s="3">
        <f t="shared" si="77"/>
        <v>-22.920000000000009</v>
      </c>
      <c r="AH89" s="79">
        <f t="shared" si="78"/>
        <v>-2.1856047602700546E-2</v>
      </c>
    </row>
    <row r="90" spans="1:34" x14ac:dyDescent="0.25">
      <c r="B90" s="80" t="s">
        <v>82</v>
      </c>
      <c r="C90" s="65">
        <f t="shared" si="51"/>
        <v>0.56999999999999995</v>
      </c>
      <c r="D90" s="66">
        <f t="shared" si="80"/>
        <v>997.44</v>
      </c>
      <c r="E90" s="67">
        <v>45994</v>
      </c>
      <c r="F90" s="68" t="s">
        <v>60</v>
      </c>
      <c r="G90" s="69">
        <f t="shared" si="21"/>
        <v>-6.1296337248834872E-3</v>
      </c>
      <c r="H90" s="67">
        <v>45985</v>
      </c>
      <c r="I90" s="70">
        <f t="shared" si="81"/>
        <v>-9</v>
      </c>
      <c r="J90" s="71">
        <v>15.585000000000001</v>
      </c>
      <c r="K90" s="72">
        <v>14.8</v>
      </c>
      <c r="L90" s="73">
        <v>17.8</v>
      </c>
      <c r="M90" s="83">
        <v>64</v>
      </c>
      <c r="N90" s="67"/>
      <c r="O90" s="70" t="str">
        <f t="shared" si="61"/>
        <v/>
      </c>
      <c r="P90" s="3" t="str">
        <f t="shared" si="62"/>
        <v/>
      </c>
      <c r="Q90" s="75" t="str">
        <f t="shared" si="63"/>
        <v/>
      </c>
      <c r="R90" s="3">
        <f t="shared" si="64"/>
        <v>-50.240000000000009</v>
      </c>
      <c r="S90" s="75">
        <f t="shared" si="65"/>
        <v>-5.0368944497914667E-2</v>
      </c>
      <c r="T90" s="67"/>
      <c r="U90" s="70" t="str">
        <f t="shared" si="66"/>
        <v/>
      </c>
      <c r="V90" s="3" t="str">
        <f t="shared" ref="V90:V114" si="93">IF(T90&gt;0,(-J90+AA90)*M90,"")</f>
        <v/>
      </c>
      <c r="W90" s="75" t="str">
        <f t="shared" ref="W90:W114" si="94">IF(V90="","",+V90/(J90*M90))</f>
        <v/>
      </c>
      <c r="X90" s="76">
        <f t="shared" si="69"/>
        <v>141.76</v>
      </c>
      <c r="Y90" s="75">
        <f t="shared" si="70"/>
        <v>0.14212383702277828</v>
      </c>
      <c r="Z90" s="77">
        <f t="shared" si="71"/>
        <v>2.8216560509554132</v>
      </c>
      <c r="AA90" s="78">
        <f>VLOOKUP(B90,EntradaDatos,$AA$115,FALSE)</f>
        <v>15.7</v>
      </c>
      <c r="AB90" s="70">
        <f t="shared" ca="1" si="72"/>
        <v>54</v>
      </c>
      <c r="AC90" s="75" t="str">
        <f t="shared" si="73"/>
        <v/>
      </c>
      <c r="AD90" s="22">
        <f t="shared" si="74"/>
        <v>6.0810810810810745E-2</v>
      </c>
      <c r="AE90" s="22">
        <f t="shared" si="75"/>
        <v>-0.11797752808988771</v>
      </c>
      <c r="AF90" s="4">
        <f t="shared" si="76"/>
        <v>1.9400749063670444</v>
      </c>
      <c r="AG90" s="3">
        <f t="shared" si="77"/>
        <v>7.3599999999999364</v>
      </c>
      <c r="AH90" s="79">
        <f t="shared" si="78"/>
        <v>7.3788899582931666E-3</v>
      </c>
    </row>
    <row r="91" spans="1:34" x14ac:dyDescent="0.25">
      <c r="B91" s="80" t="s">
        <v>42</v>
      </c>
      <c r="C91" s="65">
        <f t="shared" si="51"/>
        <v>0.5</v>
      </c>
      <c r="D91" s="66">
        <f t="shared" si="80"/>
        <v>1010.4</v>
      </c>
      <c r="E91" s="67">
        <v>46032</v>
      </c>
      <c r="F91" s="68" t="s">
        <v>1</v>
      </c>
      <c r="G91" s="69">
        <f t="shared" si="21"/>
        <v>8.7559970618566133E-3</v>
      </c>
      <c r="H91" s="82"/>
      <c r="I91" s="70" t="str">
        <f t="shared" si="81"/>
        <v/>
      </c>
      <c r="J91" s="71">
        <v>63.15</v>
      </c>
      <c r="K91" s="72">
        <v>60.15</v>
      </c>
      <c r="L91" s="73">
        <v>69.099999999999994</v>
      </c>
      <c r="M91" s="83">
        <v>16</v>
      </c>
      <c r="N91" s="67"/>
      <c r="O91" s="70" t="str">
        <f t="shared" si="61"/>
        <v/>
      </c>
      <c r="P91" s="3" t="str">
        <f t="shared" si="62"/>
        <v/>
      </c>
      <c r="Q91" s="75" t="str">
        <f t="shared" si="63"/>
        <v/>
      </c>
      <c r="R91" s="3">
        <f t="shared" si="64"/>
        <v>-48</v>
      </c>
      <c r="S91" s="75">
        <f t="shared" si="65"/>
        <v>-4.7505938242280284E-2</v>
      </c>
      <c r="T91" s="67"/>
      <c r="U91" s="70" t="str">
        <f t="shared" si="66"/>
        <v/>
      </c>
      <c r="V91" s="3" t="str">
        <f t="shared" si="93"/>
        <v/>
      </c>
      <c r="W91" s="75" t="str">
        <f t="shared" si="94"/>
        <v/>
      </c>
      <c r="X91" s="76">
        <f>(+L91-J91)*M91</f>
        <v>95.199999999999932</v>
      </c>
      <c r="Y91" s="75">
        <f t="shared" si="70"/>
        <v>9.4220110847189162E-2</v>
      </c>
      <c r="Z91" s="77">
        <f t="shared" si="71"/>
        <v>1.9833333333333318</v>
      </c>
      <c r="AA91" s="78">
        <f>VLOOKUP(B91,EntradaDatos,$AA$115,FALSE)</f>
        <v>72.2</v>
      </c>
      <c r="AB91" s="70" t="str">
        <f t="shared" ca="1" si="72"/>
        <v/>
      </c>
      <c r="AC91" s="75">
        <f t="shared" si="73"/>
        <v>0.14330958036421237</v>
      </c>
      <c r="AD91" s="22">
        <f t="shared" si="74"/>
        <v>0.20033250207813813</v>
      </c>
      <c r="AE91" s="22">
        <f t="shared" si="75"/>
        <v>4.4862518089725079E-2</v>
      </c>
      <c r="AF91" s="4">
        <f t="shared" si="76"/>
        <v>-0.22394028739393873</v>
      </c>
      <c r="AG91" s="3" t="str">
        <f t="shared" si="77"/>
        <v/>
      </c>
      <c r="AH91" s="79" t="str">
        <f t="shared" si="78"/>
        <v/>
      </c>
    </row>
    <row r="92" spans="1:34" x14ac:dyDescent="0.25">
      <c r="B92" s="80" t="s">
        <v>40</v>
      </c>
      <c r="C92" s="65" t="e">
        <f t="shared" si="51"/>
        <v>#N/A</v>
      </c>
      <c r="D92" s="85">
        <f>+J92*M92/100</f>
        <v>920</v>
      </c>
      <c r="E92" s="67">
        <v>46024</v>
      </c>
      <c r="F92" s="68" t="s">
        <v>1</v>
      </c>
      <c r="G92" s="69">
        <f t="shared" ref="G92:G95" si="95">VLOOKUP(B92,DataTrend,2,FALSE)</f>
        <v>-1.4693410519246886E-3</v>
      </c>
      <c r="H92" s="82"/>
      <c r="I92" s="70" t="str">
        <f t="shared" si="81"/>
        <v/>
      </c>
      <c r="J92" s="71">
        <v>1150</v>
      </c>
      <c r="K92" s="72">
        <v>1070</v>
      </c>
      <c r="L92" s="73">
        <v>1330</v>
      </c>
      <c r="M92" s="83">
        <v>80</v>
      </c>
      <c r="N92" s="67"/>
      <c r="O92" s="70" t="str">
        <f t="shared" si="61"/>
        <v/>
      </c>
      <c r="P92" s="3" t="str">
        <f t="shared" si="62"/>
        <v/>
      </c>
      <c r="Q92" s="75" t="str">
        <f t="shared" si="63"/>
        <v/>
      </c>
      <c r="R92" s="3">
        <f>(+K92-J92)*M92/100</f>
        <v>-64</v>
      </c>
      <c r="S92" s="75">
        <f t="shared" si="65"/>
        <v>-6.9565217391304353E-4</v>
      </c>
      <c r="T92" s="67"/>
      <c r="U92" s="70" t="str">
        <f t="shared" si="66"/>
        <v/>
      </c>
      <c r="V92" s="3" t="str">
        <f t="shared" si="93"/>
        <v/>
      </c>
      <c r="W92" s="75" t="str">
        <f t="shared" si="94"/>
        <v/>
      </c>
      <c r="X92" s="76">
        <f>(+L92-J92)*M92/100</f>
        <v>144</v>
      </c>
      <c r="Y92" s="75">
        <f t="shared" si="70"/>
        <v>1.5652173913043479E-3</v>
      </c>
      <c r="Z92" s="77">
        <f t="shared" si="71"/>
        <v>2.25</v>
      </c>
      <c r="AA92" s="78">
        <f>VLOOKUP(B92,EntradaDatos,$AA$115,FALSE)</f>
        <v>1285.5</v>
      </c>
      <c r="AB92" s="70" t="str">
        <f t="shared" ca="1" si="72"/>
        <v/>
      </c>
      <c r="AC92" s="75">
        <f t="shared" si="73"/>
        <v>0.11782608695652175</v>
      </c>
      <c r="AD92" s="22">
        <f t="shared" si="74"/>
        <v>0.20140186915887859</v>
      </c>
      <c r="AE92" s="22">
        <f t="shared" si="75"/>
        <v>-3.3458646616541299E-2</v>
      </c>
      <c r="AF92" s="4">
        <f t="shared" si="76"/>
        <v>0.16612877902412609</v>
      </c>
      <c r="AG92" s="3" t="str">
        <f t="shared" si="77"/>
        <v/>
      </c>
      <c r="AH92" s="79" t="str">
        <f t="shared" si="78"/>
        <v/>
      </c>
    </row>
    <row r="93" spans="1:34" ht="14.25" customHeight="1" x14ac:dyDescent="0.25">
      <c r="A93" s="63">
        <v>18</v>
      </c>
      <c r="B93" s="64" t="s">
        <v>107</v>
      </c>
      <c r="C93" s="65" t="e">
        <f t="shared" si="51"/>
        <v>#N/A</v>
      </c>
      <c r="D93" s="66">
        <f t="shared" si="80"/>
        <v>944.9</v>
      </c>
      <c r="E93" s="67">
        <v>46026</v>
      </c>
      <c r="F93" s="68" t="s">
        <v>95</v>
      </c>
      <c r="G93" s="69" t="e">
        <f t="shared" ref="G93" si="96">VLOOKUP(B93,DataTrend,2,FALSE)</f>
        <v>#N/A</v>
      </c>
      <c r="H93" s="67">
        <v>46029</v>
      </c>
      <c r="I93" s="70">
        <f t="shared" si="81"/>
        <v>3</v>
      </c>
      <c r="J93" s="71">
        <v>188.98</v>
      </c>
      <c r="K93" s="72">
        <v>180.18</v>
      </c>
      <c r="L93" s="73">
        <v>193.74</v>
      </c>
      <c r="M93" s="83">
        <v>5</v>
      </c>
      <c r="N93" s="67"/>
      <c r="O93" s="70" t="str">
        <f t="shared" si="61"/>
        <v/>
      </c>
      <c r="P93" s="3" t="str">
        <f t="shared" si="62"/>
        <v/>
      </c>
      <c r="Q93" s="75" t="str">
        <f t="shared" si="63"/>
        <v/>
      </c>
      <c r="R93" s="3">
        <f t="shared" ref="R93:R95" si="97">(+K93-J93)*M93</f>
        <v>-43.999999999999915</v>
      </c>
      <c r="S93" s="75">
        <f t="shared" si="65"/>
        <v>-4.6565774155995256E-2</v>
      </c>
      <c r="T93" s="67">
        <v>46030</v>
      </c>
      <c r="U93" s="70">
        <f t="shared" si="66"/>
        <v>1</v>
      </c>
      <c r="V93" s="3">
        <f t="shared" si="93"/>
        <v>27.10000000000008</v>
      </c>
      <c r="W93" s="75">
        <f t="shared" si="94"/>
        <v>2.8680283627897218E-2</v>
      </c>
      <c r="X93" s="76">
        <f t="shared" ref="X93:X95" si="98">(+L93-J93)*M93</f>
        <v>23.800000000000097</v>
      </c>
      <c r="Y93" s="75">
        <f t="shared" si="70"/>
        <v>2.5187850566197583E-2</v>
      </c>
      <c r="Z93" s="77">
        <f t="shared" si="71"/>
        <v>0.54090909090909411</v>
      </c>
      <c r="AA93" s="78">
        <v>194.4</v>
      </c>
      <c r="AB93" s="70" t="str">
        <f t="shared" ca="1" si="72"/>
        <v/>
      </c>
      <c r="AC93" s="75" t="str">
        <f t="shared" si="73"/>
        <v/>
      </c>
      <c r="AD93" s="22" t="str">
        <f t="shared" si="74"/>
        <v/>
      </c>
      <c r="AE93" s="22" t="str">
        <f t="shared" si="75"/>
        <v/>
      </c>
      <c r="AF93" s="4" t="str">
        <f t="shared" si="76"/>
        <v/>
      </c>
      <c r="AG93" s="3" t="str">
        <f t="shared" si="77"/>
        <v/>
      </c>
      <c r="AH93" s="79" t="str">
        <f t="shared" si="78"/>
        <v/>
      </c>
    </row>
    <row r="94" spans="1:34" x14ac:dyDescent="0.25">
      <c r="B94" s="64" t="s">
        <v>30</v>
      </c>
      <c r="C94" s="65">
        <f t="shared" ref="C94:C95" si="99">VLOOKUP(B94,Probabilidad,$C$115,FALSE)</f>
        <v>0.56000000000000005</v>
      </c>
      <c r="D94" s="66">
        <f t="shared" si="80"/>
        <v>944.9</v>
      </c>
      <c r="E94" s="67">
        <v>46033</v>
      </c>
      <c r="F94" s="68" t="s">
        <v>1</v>
      </c>
      <c r="G94" s="69">
        <f t="shared" si="95"/>
        <v>1.1341946888905774E-2</v>
      </c>
      <c r="H94" s="82"/>
      <c r="I94" s="70" t="str">
        <f t="shared" si="81"/>
        <v/>
      </c>
      <c r="J94" s="71">
        <v>188.98</v>
      </c>
      <c r="K94" s="72">
        <v>184.47</v>
      </c>
      <c r="L94" s="73">
        <v>196.38</v>
      </c>
      <c r="M94" s="83">
        <v>5</v>
      </c>
      <c r="N94" s="67"/>
      <c r="O94" s="70" t="str">
        <f t="shared" si="61"/>
        <v/>
      </c>
      <c r="P94" s="3" t="str">
        <f t="shared" si="62"/>
        <v/>
      </c>
      <c r="Q94" s="75" t="str">
        <f t="shared" si="63"/>
        <v/>
      </c>
      <c r="R94" s="3">
        <f t="shared" si="97"/>
        <v>-22.549999999999955</v>
      </c>
      <c r="S94" s="75">
        <f t="shared" si="65"/>
        <v>-2.3864959254947565E-2</v>
      </c>
      <c r="T94" s="67"/>
      <c r="U94" s="70" t="str">
        <f t="shared" si="66"/>
        <v/>
      </c>
      <c r="V94" s="3" t="str">
        <f t="shared" si="93"/>
        <v/>
      </c>
      <c r="W94" s="75" t="str">
        <f t="shared" si="94"/>
        <v/>
      </c>
      <c r="X94" s="76">
        <f t="shared" si="98"/>
        <v>37.000000000000028</v>
      </c>
      <c r="Y94" s="75">
        <f t="shared" si="70"/>
        <v>3.9157582812996118E-2</v>
      </c>
      <c r="Z94" s="77">
        <f t="shared" si="71"/>
        <v>1.6407982261640843</v>
      </c>
      <c r="AA94" s="78">
        <f>VLOOKUP(B94,EntradaDatos,$AA$115,FALSE)</f>
        <v>201.92</v>
      </c>
      <c r="AB94" s="70" t="str">
        <f t="shared" ca="1" si="72"/>
        <v/>
      </c>
      <c r="AC94" s="75">
        <f t="shared" si="73"/>
        <v>6.8472854270293038E-2</v>
      </c>
      <c r="AD94" s="22">
        <f t="shared" si="74"/>
        <v>9.4595327153466524E-2</v>
      </c>
      <c r="AE94" s="22">
        <f t="shared" si="75"/>
        <v>2.8210612078622965E-2</v>
      </c>
      <c r="AF94" s="4">
        <f t="shared" si="76"/>
        <v>-0.29822416103974714</v>
      </c>
      <c r="AG94" s="3" t="str">
        <f t="shared" si="77"/>
        <v/>
      </c>
      <c r="AH94" s="79" t="str">
        <f t="shared" si="78"/>
        <v/>
      </c>
    </row>
    <row r="95" spans="1:34" x14ac:dyDescent="0.25">
      <c r="B95" s="80" t="s">
        <v>57</v>
      </c>
      <c r="C95" s="65">
        <f t="shared" si="99"/>
        <v>0.56000000000000005</v>
      </c>
      <c r="D95" s="66">
        <f t="shared" si="80"/>
        <v>10138.4</v>
      </c>
      <c r="E95" s="67">
        <v>46026</v>
      </c>
      <c r="F95" s="68" t="s">
        <v>1</v>
      </c>
      <c r="G95" s="69">
        <f t="shared" si="95"/>
        <v>3.4804448420497681E-3</v>
      </c>
      <c r="H95" s="82"/>
      <c r="I95" s="70" t="str">
        <f t="shared" si="81"/>
        <v/>
      </c>
      <c r="J95" s="71">
        <v>533.6</v>
      </c>
      <c r="K95" s="72">
        <v>516.4</v>
      </c>
      <c r="L95" s="73">
        <v>587.29999999999995</v>
      </c>
      <c r="M95" s="83">
        <v>19</v>
      </c>
      <c r="N95" s="67"/>
      <c r="O95" s="70" t="str">
        <f t="shared" si="61"/>
        <v/>
      </c>
      <c r="P95" s="3" t="str">
        <f t="shared" si="62"/>
        <v/>
      </c>
      <c r="Q95" s="75" t="str">
        <f t="shared" si="63"/>
        <v/>
      </c>
      <c r="R95" s="3">
        <f t="shared" si="97"/>
        <v>-326.80000000000086</v>
      </c>
      <c r="S95" s="75">
        <f t="shared" si="65"/>
        <v>-3.2233883058470851E-2</v>
      </c>
      <c r="T95" s="67"/>
      <c r="U95" s="70" t="str">
        <f t="shared" si="66"/>
        <v/>
      </c>
      <c r="V95" s="3" t="str">
        <f t="shared" si="93"/>
        <v/>
      </c>
      <c r="W95" s="75" t="str">
        <f t="shared" si="94"/>
        <v/>
      </c>
      <c r="X95" s="76">
        <f t="shared" si="98"/>
        <v>1020.2999999999987</v>
      </c>
      <c r="Y95" s="75">
        <f t="shared" si="70"/>
        <v>0.10063718140929523</v>
      </c>
      <c r="Z95" s="77">
        <f t="shared" si="71"/>
        <v>3.1220930232558017</v>
      </c>
      <c r="AA95" s="78">
        <f>VLOOKUP(B95,EntradaDatos,$AA$115,FALSE)</f>
        <v>707.8</v>
      </c>
      <c r="AB95" s="70" t="str">
        <f t="shared" ca="1" si="72"/>
        <v/>
      </c>
      <c r="AC95" s="75">
        <f t="shared" si="73"/>
        <v>0.32646176911544211</v>
      </c>
      <c r="AD95" s="22">
        <f t="shared" si="74"/>
        <v>0.37064291247095271</v>
      </c>
      <c r="AE95" s="22">
        <f t="shared" si="75"/>
        <v>0.2051762302060276</v>
      </c>
      <c r="AF95" s="4">
        <f t="shared" si="76"/>
        <v>-0.55356847062901082</v>
      </c>
      <c r="AG95" s="3" t="str">
        <f t="shared" si="77"/>
        <v/>
      </c>
      <c r="AH95" s="79" t="str">
        <f t="shared" si="78"/>
        <v/>
      </c>
    </row>
    <row r="96" spans="1:34" x14ac:dyDescent="0.25">
      <c r="B96" s="80" t="s">
        <v>84</v>
      </c>
      <c r="C96" s="65">
        <f>VLOOKUP(B96,Probabilidad,$C$115,FALSE)</f>
        <v>0.55000000000000004</v>
      </c>
      <c r="D96" s="66">
        <f t="shared" si="80"/>
        <v>1042.29</v>
      </c>
      <c r="E96" s="67">
        <v>45992</v>
      </c>
      <c r="F96" s="68" t="s">
        <v>60</v>
      </c>
      <c r="G96" s="69">
        <f t="shared" si="21"/>
        <v>-5.4422266095812914E-3</v>
      </c>
      <c r="H96" s="67">
        <v>45986</v>
      </c>
      <c r="I96" s="70">
        <f t="shared" si="81"/>
        <v>-6</v>
      </c>
      <c r="J96" s="71">
        <v>3.13</v>
      </c>
      <c r="K96" s="72">
        <v>2.95</v>
      </c>
      <c r="L96" s="73">
        <v>3.7</v>
      </c>
      <c r="M96" s="83">
        <v>333</v>
      </c>
      <c r="N96" s="67"/>
      <c r="O96" s="70" t="str">
        <f t="shared" si="61"/>
        <v/>
      </c>
      <c r="P96" s="3" t="str">
        <f t="shared" si="62"/>
        <v/>
      </c>
      <c r="Q96" s="75" t="str">
        <f t="shared" si="63"/>
        <v/>
      </c>
      <c r="R96" s="3">
        <f t="shared" si="64"/>
        <v>-59.939999999999905</v>
      </c>
      <c r="S96" s="75">
        <f t="shared" si="65"/>
        <v>-5.7507987220447199E-2</v>
      </c>
      <c r="T96" s="67"/>
      <c r="U96" s="70" t="str">
        <f t="shared" si="66"/>
        <v/>
      </c>
      <c r="V96" s="3" t="str">
        <f t="shared" si="93"/>
        <v/>
      </c>
      <c r="W96" s="75" t="str">
        <f t="shared" si="94"/>
        <v/>
      </c>
      <c r="X96" s="76">
        <f t="shared" si="69"/>
        <v>189.81000000000009</v>
      </c>
      <c r="Y96" s="75">
        <f t="shared" si="70"/>
        <v>0.18210862619808316</v>
      </c>
      <c r="Z96" s="77">
        <f t="shared" si="71"/>
        <v>3.1666666666666732</v>
      </c>
      <c r="AA96" s="78">
        <f>VLOOKUP(B96,EntradaDatos,$AA$115,FALSE)</f>
        <v>3.24</v>
      </c>
      <c r="AB96" s="70">
        <f t="shared" ca="1" si="72"/>
        <v>53</v>
      </c>
      <c r="AC96" s="75" t="str">
        <f t="shared" si="73"/>
        <v/>
      </c>
      <c r="AD96" s="22">
        <f t="shared" si="74"/>
        <v>9.8305084745762716E-2</v>
      </c>
      <c r="AE96" s="22">
        <f t="shared" si="75"/>
        <v>-0.12432432432432428</v>
      </c>
      <c r="AF96" s="4">
        <f t="shared" si="76"/>
        <v>1.2646784715750228</v>
      </c>
      <c r="AG96" s="3">
        <f t="shared" si="77"/>
        <v>36.63000000000013</v>
      </c>
      <c r="AH96" s="79">
        <f t="shared" si="78"/>
        <v>3.5143769968051242E-2</v>
      </c>
    </row>
    <row r="97" spans="1:34" x14ac:dyDescent="0.25">
      <c r="A97" s="63">
        <v>13</v>
      </c>
      <c r="B97" s="64" t="s">
        <v>108</v>
      </c>
      <c r="C97" s="65" t="e">
        <f>VLOOKUP(B97,Probabilidad,$C$115,FALSE)</f>
        <v>#N/A</v>
      </c>
      <c r="D97" s="66">
        <f t="shared" si="80"/>
        <v>1006.3919999999999</v>
      </c>
      <c r="E97" s="67">
        <v>45996</v>
      </c>
      <c r="F97" s="68" t="s">
        <v>95</v>
      </c>
      <c r="G97" s="69" t="e">
        <f t="shared" ref="G97" si="100">VLOOKUP(B97,DataTrend,2,FALSE)</f>
        <v>#N/A</v>
      </c>
      <c r="H97" s="67">
        <v>45982</v>
      </c>
      <c r="I97" s="70">
        <f t="shared" si="81"/>
        <v>-14</v>
      </c>
      <c r="J97" s="71">
        <v>8.8279999999999994</v>
      </c>
      <c r="K97" s="72">
        <v>8.2940000000000005</v>
      </c>
      <c r="L97" s="73">
        <v>10.3</v>
      </c>
      <c r="M97" s="83">
        <v>114</v>
      </c>
      <c r="N97" s="67"/>
      <c r="O97" s="70" t="str">
        <f t="shared" si="61"/>
        <v/>
      </c>
      <c r="P97" s="3" t="str">
        <f t="shared" si="62"/>
        <v/>
      </c>
      <c r="Q97" s="75" t="str">
        <f t="shared" si="63"/>
        <v/>
      </c>
      <c r="R97" s="3">
        <f t="shared" si="64"/>
        <v>-60.875999999999877</v>
      </c>
      <c r="S97" s="75">
        <f t="shared" si="65"/>
        <v>-6.0489352061621995E-2</v>
      </c>
      <c r="T97" s="67">
        <v>46027</v>
      </c>
      <c r="U97" s="70">
        <f t="shared" si="66"/>
        <v>45</v>
      </c>
      <c r="V97" s="3">
        <f t="shared" si="93"/>
        <v>168.03600000000003</v>
      </c>
      <c r="W97" s="75">
        <f t="shared" si="94"/>
        <v>0.1669687358405075</v>
      </c>
      <c r="X97" s="76">
        <f t="shared" si="69"/>
        <v>167.80800000000016</v>
      </c>
      <c r="Y97" s="75">
        <f t="shared" si="70"/>
        <v>0.16674218396012705</v>
      </c>
      <c r="Z97" s="77">
        <f t="shared" si="71"/>
        <v>2.7565543071161129</v>
      </c>
      <c r="AA97" s="78">
        <v>10.302</v>
      </c>
      <c r="AB97" s="70" t="str">
        <f t="shared" ca="1" si="72"/>
        <v/>
      </c>
      <c r="AC97" s="75" t="str">
        <f t="shared" si="73"/>
        <v/>
      </c>
      <c r="AD97" s="22" t="str">
        <f t="shared" si="74"/>
        <v/>
      </c>
      <c r="AE97" s="22" t="str">
        <f t="shared" si="75"/>
        <v/>
      </c>
      <c r="AF97" s="4" t="str">
        <f t="shared" si="76"/>
        <v/>
      </c>
      <c r="AG97" s="3" t="str">
        <f t="shared" si="77"/>
        <v/>
      </c>
      <c r="AH97" s="79" t="str">
        <f t="shared" si="78"/>
        <v/>
      </c>
    </row>
    <row r="98" spans="1:34" x14ac:dyDescent="0.25">
      <c r="B98" s="64" t="s">
        <v>36</v>
      </c>
      <c r="C98" s="65">
        <f>VLOOKUP(B98,Probabilidad,$C$115,FALSE)</f>
        <v>0.55000000000000004</v>
      </c>
      <c r="D98" s="66">
        <f t="shared" si="80"/>
        <v>1099.644</v>
      </c>
      <c r="E98" s="67">
        <v>46033</v>
      </c>
      <c r="F98" s="68" t="s">
        <v>1</v>
      </c>
      <c r="G98" s="69">
        <f t="shared" si="21"/>
        <v>4.4423401911960481E-3</v>
      </c>
      <c r="H98" s="82"/>
      <c r="I98" s="70" t="str">
        <f t="shared" si="81"/>
        <v/>
      </c>
      <c r="J98" s="71">
        <v>9.6460000000000008</v>
      </c>
      <c r="K98" s="72">
        <v>9.3770000000000007</v>
      </c>
      <c r="L98" s="73">
        <v>10.3</v>
      </c>
      <c r="M98" s="83">
        <v>114</v>
      </c>
      <c r="N98" s="67"/>
      <c r="O98" s="70" t="str">
        <f t="shared" si="61"/>
        <v/>
      </c>
      <c r="P98" s="3" t="str">
        <f t="shared" si="62"/>
        <v/>
      </c>
      <c r="Q98" s="75" t="str">
        <f t="shared" si="63"/>
        <v/>
      </c>
      <c r="R98" s="3">
        <f t="shared" si="64"/>
        <v>-30.666000000000015</v>
      </c>
      <c r="S98" s="75">
        <f t="shared" si="65"/>
        <v>-2.7887207132490165E-2</v>
      </c>
      <c r="T98" s="67"/>
      <c r="U98" s="70" t="str">
        <f t="shared" si="66"/>
        <v/>
      </c>
      <c r="V98" s="3" t="str">
        <f t="shared" si="93"/>
        <v/>
      </c>
      <c r="W98" s="75" t="str">
        <f t="shared" si="94"/>
        <v/>
      </c>
      <c r="X98" s="76">
        <f t="shared" si="69"/>
        <v>74.555999999999983</v>
      </c>
      <c r="Y98" s="75">
        <f t="shared" si="70"/>
        <v>6.7800124403897974E-2</v>
      </c>
      <c r="Z98" s="77">
        <f t="shared" si="71"/>
        <v>2.4312267657992548</v>
      </c>
      <c r="AA98" s="78">
        <f t="shared" ref="AA98:AA103" si="101">VLOOKUP(B98,EntradaDatos,$AA$115,FALSE)</f>
        <v>10.54</v>
      </c>
      <c r="AB98" s="70" t="str">
        <f t="shared" ca="1" si="72"/>
        <v/>
      </c>
      <c r="AC98" s="75">
        <f t="shared" si="73"/>
        <v>9.2680904001658515E-2</v>
      </c>
      <c r="AD98" s="22">
        <f t="shared" si="74"/>
        <v>0.12402687426682291</v>
      </c>
      <c r="AE98" s="22">
        <f t="shared" si="75"/>
        <v>2.3300970873786353E-2</v>
      </c>
      <c r="AF98" s="4">
        <f t="shared" si="76"/>
        <v>-0.18787033867884345</v>
      </c>
      <c r="AG98" s="3" t="str">
        <f t="shared" si="77"/>
        <v/>
      </c>
      <c r="AH98" s="79" t="str">
        <f t="shared" si="78"/>
        <v/>
      </c>
    </row>
    <row r="99" spans="1:34" x14ac:dyDescent="0.25">
      <c r="B99" s="80" t="s">
        <v>22</v>
      </c>
      <c r="C99" s="65">
        <f>VLOOKUP(B99,Probabilidad,$C$115,FALSE)</f>
        <v>0.5</v>
      </c>
      <c r="D99" s="66">
        <f t="shared" si="80"/>
        <v>1000.776</v>
      </c>
      <c r="E99" s="67">
        <v>46026</v>
      </c>
      <c r="F99" s="68" t="s">
        <v>1</v>
      </c>
      <c r="G99" s="69">
        <f t="shared" si="21"/>
        <v>-4.0192427384957432E-4</v>
      </c>
      <c r="H99" s="82"/>
      <c r="I99" s="70" t="str">
        <f t="shared" si="81"/>
        <v/>
      </c>
      <c r="J99" s="71">
        <v>3.8639999999999999</v>
      </c>
      <c r="K99" s="72">
        <v>3.738</v>
      </c>
      <c r="L99" s="73">
        <v>4.0919999999999996</v>
      </c>
      <c r="M99" s="83">
        <v>259</v>
      </c>
      <c r="N99" s="67"/>
      <c r="O99" s="70" t="str">
        <f t="shared" si="61"/>
        <v/>
      </c>
      <c r="P99" s="3" t="str">
        <f t="shared" si="62"/>
        <v/>
      </c>
      <c r="Q99" s="75" t="str">
        <f t="shared" si="63"/>
        <v/>
      </c>
      <c r="R99" s="3">
        <f t="shared" si="64"/>
        <v>-32.633999999999972</v>
      </c>
      <c r="S99" s="75">
        <f t="shared" si="65"/>
        <v>-3.2608695652173884E-2</v>
      </c>
      <c r="T99" s="67"/>
      <c r="U99" s="70" t="str">
        <f t="shared" si="66"/>
        <v/>
      </c>
      <c r="V99" s="3" t="str">
        <f t="shared" si="93"/>
        <v/>
      </c>
      <c r="W99" s="75" t="str">
        <f t="shared" si="94"/>
        <v/>
      </c>
      <c r="X99" s="76">
        <f t="shared" si="69"/>
        <v>59.051999999999936</v>
      </c>
      <c r="Y99" s="75">
        <f t="shared" si="70"/>
        <v>5.9006211180124161E-2</v>
      </c>
      <c r="Z99" s="77">
        <f t="shared" si="71"/>
        <v>1.8095238095238091</v>
      </c>
      <c r="AA99" s="78">
        <f t="shared" si="101"/>
        <v>4.0199999999999996</v>
      </c>
      <c r="AB99" s="70" t="str">
        <f t="shared" ca="1" si="72"/>
        <v/>
      </c>
      <c r="AC99" s="75">
        <f t="shared" si="73"/>
        <v>4.0372670807453437E-2</v>
      </c>
      <c r="AD99" s="22">
        <f t="shared" si="74"/>
        <v>7.5441412520064199E-2</v>
      </c>
      <c r="AE99" s="22">
        <f t="shared" si="75"/>
        <v>-1.7595307917888547E-2</v>
      </c>
      <c r="AF99" s="4">
        <f t="shared" si="76"/>
        <v>0.2332314219754163</v>
      </c>
      <c r="AG99" s="3" t="str">
        <f t="shared" si="77"/>
        <v/>
      </c>
      <c r="AH99" s="79" t="str">
        <f t="shared" si="78"/>
        <v/>
      </c>
    </row>
    <row r="100" spans="1:34" x14ac:dyDescent="0.25">
      <c r="B100" s="80" t="s">
        <v>17</v>
      </c>
      <c r="C100" s="65">
        <f t="shared" ref="C100" si="102">VLOOKUP(B100,Probabilidad,$C$115,FALSE)</f>
        <v>0.5</v>
      </c>
      <c r="D100" s="66">
        <f t="shared" si="80"/>
        <v>1003.6899999999999</v>
      </c>
      <c r="E100" s="67">
        <v>46024</v>
      </c>
      <c r="F100" s="68" t="s">
        <v>1</v>
      </c>
      <c r="G100" s="69">
        <f t="shared" si="21"/>
        <v>3.9699200645858298E-3</v>
      </c>
      <c r="H100" s="82"/>
      <c r="I100" s="70" t="str">
        <f t="shared" si="81"/>
        <v/>
      </c>
      <c r="J100" s="71">
        <v>17.305</v>
      </c>
      <c r="K100" s="72">
        <v>16.98</v>
      </c>
      <c r="L100" s="73">
        <v>18.54</v>
      </c>
      <c r="M100" s="83">
        <v>58</v>
      </c>
      <c r="N100" s="67"/>
      <c r="O100" s="70" t="str">
        <f t="shared" si="61"/>
        <v/>
      </c>
      <c r="P100" s="3" t="str">
        <f t="shared" si="62"/>
        <v/>
      </c>
      <c r="Q100" s="75" t="str">
        <f t="shared" si="63"/>
        <v/>
      </c>
      <c r="R100" s="3">
        <f t="shared" si="64"/>
        <v>-18.849999999999959</v>
      </c>
      <c r="S100" s="75">
        <f t="shared" si="65"/>
        <v>-1.8780699219878606E-2</v>
      </c>
      <c r="T100" s="67"/>
      <c r="U100" s="70" t="str">
        <f t="shared" si="66"/>
        <v/>
      </c>
      <c r="V100" s="3" t="str">
        <f t="shared" si="93"/>
        <v/>
      </c>
      <c r="W100" s="75" t="str">
        <f t="shared" si="94"/>
        <v/>
      </c>
      <c r="X100" s="76">
        <f t="shared" si="69"/>
        <v>71.629999999999967</v>
      </c>
      <c r="Y100" s="75">
        <f t="shared" si="70"/>
        <v>7.1366657035538836E-2</v>
      </c>
      <c r="Z100" s="77">
        <f t="shared" si="71"/>
        <v>3.8000000000000065</v>
      </c>
      <c r="AA100" s="78">
        <f t="shared" si="101"/>
        <v>17.77</v>
      </c>
      <c r="AB100" s="70" t="str">
        <f t="shared" ca="1" si="72"/>
        <v/>
      </c>
      <c r="AC100" s="75">
        <f t="shared" si="73"/>
        <v>2.6870846576134033E-2</v>
      </c>
      <c r="AD100" s="22">
        <f t="shared" si="74"/>
        <v>4.6525323910482808E-2</v>
      </c>
      <c r="AE100" s="22">
        <f t="shared" si="75"/>
        <v>-4.1531823085221076E-2</v>
      </c>
      <c r="AF100" s="4">
        <f t="shared" si="76"/>
        <v>0.89267133669247545</v>
      </c>
      <c r="AG100" s="3" t="str">
        <f t="shared" si="77"/>
        <v/>
      </c>
      <c r="AH100" s="79" t="str">
        <f t="shared" si="78"/>
        <v/>
      </c>
    </row>
    <row r="101" spans="1:34" x14ac:dyDescent="0.25">
      <c r="B101" s="80" t="s">
        <v>78</v>
      </c>
      <c r="C101" s="65">
        <f t="shared" ref="C101" si="103">VLOOKUP(B101,Probabilidad,$C$115,FALSE)</f>
        <v>0.5</v>
      </c>
      <c r="D101" s="66">
        <f t="shared" si="80"/>
        <v>932.4</v>
      </c>
      <c r="E101" s="67">
        <v>46032</v>
      </c>
      <c r="F101" s="68" t="s">
        <v>60</v>
      </c>
      <c r="G101" s="69">
        <f t="shared" ref="G101" si="104">VLOOKUP(B101,DataTrend,2,FALSE)</f>
        <v>-2.9486869030879648E-2</v>
      </c>
      <c r="H101" s="67">
        <v>46036</v>
      </c>
      <c r="I101" s="70">
        <f t="shared" si="81"/>
        <v>4</v>
      </c>
      <c r="J101" s="71">
        <v>233.1</v>
      </c>
      <c r="K101" s="72">
        <v>227.35</v>
      </c>
      <c r="L101" s="73">
        <v>258.14999999999998</v>
      </c>
      <c r="M101" s="83">
        <v>4</v>
      </c>
      <c r="N101" s="67"/>
      <c r="O101" s="70" t="str">
        <f t="shared" si="61"/>
        <v/>
      </c>
      <c r="P101" s="3" t="str">
        <f t="shared" si="62"/>
        <v/>
      </c>
      <c r="Q101" s="75" t="str">
        <f t="shared" si="63"/>
        <v/>
      </c>
      <c r="R101" s="3">
        <f t="shared" si="64"/>
        <v>-23</v>
      </c>
      <c r="S101" s="75">
        <f t="shared" si="65"/>
        <v>-2.4667524667524667E-2</v>
      </c>
      <c r="T101" s="67"/>
      <c r="U101" s="70" t="str">
        <f t="shared" si="66"/>
        <v/>
      </c>
      <c r="V101" s="3" t="str">
        <f t="shared" si="93"/>
        <v/>
      </c>
      <c r="W101" s="75" t="str">
        <f t="shared" si="94"/>
        <v/>
      </c>
      <c r="X101" s="76">
        <f t="shared" si="69"/>
        <v>100.19999999999993</v>
      </c>
      <c r="Y101" s="75">
        <f t="shared" si="70"/>
        <v>0.1074646074646074</v>
      </c>
      <c r="Z101" s="77">
        <f t="shared" si="71"/>
        <v>4.3565217391304314</v>
      </c>
      <c r="AA101" s="78">
        <f t="shared" si="101"/>
        <v>235.15</v>
      </c>
      <c r="AB101" s="70">
        <f t="shared" ca="1" si="72"/>
        <v>3</v>
      </c>
      <c r="AC101" s="75" t="str">
        <f t="shared" si="73"/>
        <v/>
      </c>
      <c r="AD101" s="22">
        <f t="shared" si="74"/>
        <v>3.4308335166043591E-2</v>
      </c>
      <c r="AE101" s="22">
        <f t="shared" si="75"/>
        <v>-8.9095487119891459E-2</v>
      </c>
      <c r="AF101" s="4">
        <f t="shared" si="76"/>
        <v>2.5969049995778586</v>
      </c>
      <c r="AG101" s="3">
        <f t="shared" si="77"/>
        <v>8.2000000000001325</v>
      </c>
      <c r="AH101" s="79">
        <f t="shared" si="78"/>
        <v>8.7945087945089373E-3</v>
      </c>
    </row>
    <row r="102" spans="1:34" x14ac:dyDescent="0.25">
      <c r="B102" s="80" t="s">
        <v>31</v>
      </c>
      <c r="C102" s="65">
        <f>VLOOKUP(B102,Probabilidad,$C$115,FALSE)</f>
        <v>0.56000000000000005</v>
      </c>
      <c r="D102" s="85">
        <f>+J102*M102/100</f>
        <v>1401.75</v>
      </c>
      <c r="E102" s="67">
        <v>46030</v>
      </c>
      <c r="F102" s="68" t="s">
        <v>1</v>
      </c>
      <c r="G102" s="69">
        <f t="shared" si="21"/>
        <v>1.8300924899757876E-3</v>
      </c>
      <c r="H102" s="82"/>
      <c r="I102" s="70" t="str">
        <f t="shared" si="81"/>
        <v/>
      </c>
      <c r="J102" s="71">
        <v>6675</v>
      </c>
      <c r="K102" s="72">
        <v>6520</v>
      </c>
      <c r="L102" s="73">
        <v>7245</v>
      </c>
      <c r="M102" s="83">
        <v>21</v>
      </c>
      <c r="N102" s="67"/>
      <c r="O102" s="70" t="str">
        <f t="shared" si="61"/>
        <v/>
      </c>
      <c r="P102" s="3" t="str">
        <f t="shared" si="62"/>
        <v/>
      </c>
      <c r="Q102" s="75" t="str">
        <f t="shared" si="63"/>
        <v/>
      </c>
      <c r="R102" s="3">
        <f>(+K102-J102)*M102/100</f>
        <v>-32.549999999999997</v>
      </c>
      <c r="S102" s="75">
        <f t="shared" si="65"/>
        <v>-2.3220973782771533E-4</v>
      </c>
      <c r="T102" s="67"/>
      <c r="U102" s="70" t="str">
        <f t="shared" si="66"/>
        <v/>
      </c>
      <c r="V102" s="3" t="str">
        <f t="shared" si="93"/>
        <v/>
      </c>
      <c r="W102" s="75" t="str">
        <f t="shared" si="94"/>
        <v/>
      </c>
      <c r="X102" s="76">
        <f>(+L102-J102)*M102/100</f>
        <v>119.7</v>
      </c>
      <c r="Y102" s="75">
        <f t="shared" si="70"/>
        <v>8.5393258426966299E-4</v>
      </c>
      <c r="Z102" s="77">
        <f t="shared" si="71"/>
        <v>3.67741935483871</v>
      </c>
      <c r="AA102" s="78">
        <f t="shared" si="101"/>
        <v>7185</v>
      </c>
      <c r="AB102" s="70" t="str">
        <f t="shared" ca="1" si="72"/>
        <v/>
      </c>
      <c r="AC102" s="75">
        <f t="shared" si="73"/>
        <v>7.640449438202257E-2</v>
      </c>
      <c r="AD102" s="22">
        <f t="shared" si="74"/>
        <v>0.10199386503067487</v>
      </c>
      <c r="AE102" s="22">
        <f t="shared" si="75"/>
        <v>-8.281573498964856E-3</v>
      </c>
      <c r="AF102" s="4">
        <f t="shared" si="76"/>
        <v>8.1196780771805782E-2</v>
      </c>
      <c r="AG102" s="3" t="str">
        <f t="shared" si="77"/>
        <v/>
      </c>
      <c r="AH102" s="79" t="str">
        <f t="shared" si="78"/>
        <v/>
      </c>
    </row>
    <row r="103" spans="1:34" x14ac:dyDescent="0.25">
      <c r="B103" s="80" t="s">
        <v>91</v>
      </c>
      <c r="C103" s="65">
        <f>VLOOKUP(B103,Probabilidad,$C$115,FALSE)</f>
        <v>0.5</v>
      </c>
      <c r="D103" s="66">
        <f t="shared" si="80"/>
        <v>1000.8</v>
      </c>
      <c r="E103" s="67">
        <v>45999</v>
      </c>
      <c r="F103" s="68" t="s">
        <v>60</v>
      </c>
      <c r="G103" s="69">
        <f t="shared" si="21"/>
        <v>-6.20965967202487E-3</v>
      </c>
      <c r="H103" s="67">
        <v>46021</v>
      </c>
      <c r="I103" s="70">
        <f t="shared" si="81"/>
        <v>22</v>
      </c>
      <c r="J103" s="71">
        <v>2.4</v>
      </c>
      <c r="K103" s="72">
        <v>2.0499999999999998</v>
      </c>
      <c r="L103" s="73">
        <v>3.1</v>
      </c>
      <c r="M103" s="83">
        <v>417</v>
      </c>
      <c r="N103" s="67"/>
      <c r="O103" s="70" t="str">
        <f t="shared" si="61"/>
        <v/>
      </c>
      <c r="P103" s="3" t="str">
        <f t="shared" si="62"/>
        <v/>
      </c>
      <c r="Q103" s="75" t="str">
        <f t="shared" si="63"/>
        <v/>
      </c>
      <c r="R103" s="3">
        <f t="shared" si="64"/>
        <v>-145.95000000000005</v>
      </c>
      <c r="S103" s="75">
        <f t="shared" si="65"/>
        <v>-0.1458333333333334</v>
      </c>
      <c r="T103" s="67"/>
      <c r="U103" s="70" t="str">
        <f t="shared" si="66"/>
        <v/>
      </c>
      <c r="V103" s="3" t="str">
        <f t="shared" si="93"/>
        <v/>
      </c>
      <c r="W103" s="75" t="str">
        <f t="shared" si="94"/>
        <v/>
      </c>
      <c r="X103" s="76">
        <f t="shared" si="69"/>
        <v>291.90000000000009</v>
      </c>
      <c r="Y103" s="75">
        <f t="shared" si="70"/>
        <v>0.2916666666666668</v>
      </c>
      <c r="Z103" s="77">
        <f t="shared" si="71"/>
        <v>2</v>
      </c>
      <c r="AA103" s="78">
        <f t="shared" si="101"/>
        <v>2.4700000000000002</v>
      </c>
      <c r="AB103" s="70">
        <f t="shared" ca="1" si="72"/>
        <v>18</v>
      </c>
      <c r="AC103" s="75" t="str">
        <f t="shared" si="73"/>
        <v/>
      </c>
      <c r="AD103" s="22">
        <f t="shared" si="74"/>
        <v>0.20487804878048799</v>
      </c>
      <c r="AE103" s="22">
        <f t="shared" si="75"/>
        <v>-0.20322580645161281</v>
      </c>
      <c r="AF103" s="4">
        <f t="shared" si="76"/>
        <v>0.99193548387096642</v>
      </c>
      <c r="AG103" s="3">
        <f t="shared" si="77"/>
        <v>29.190000000000119</v>
      </c>
      <c r="AH103" s="79">
        <f t="shared" si="78"/>
        <v>2.9166666666666785E-2</v>
      </c>
    </row>
    <row r="104" spans="1:34" x14ac:dyDescent="0.25">
      <c r="A104" s="63">
        <v>5</v>
      </c>
      <c r="B104" s="84" t="s">
        <v>115</v>
      </c>
      <c r="C104" s="65" t="e">
        <f>VLOOKUP(B104,Probabilidad,$C$115,FALSE)</f>
        <v>#N/A</v>
      </c>
      <c r="D104" s="66">
        <f t="shared" si="80"/>
        <v>956.54</v>
      </c>
      <c r="E104" s="67">
        <v>45989</v>
      </c>
      <c r="F104" s="68" t="s">
        <v>95</v>
      </c>
      <c r="G104" s="69" t="e">
        <f t="shared" ref="G104:G105" si="105">VLOOKUP(B104,DataTrend,2,FALSE)</f>
        <v>#N/A</v>
      </c>
      <c r="H104" s="67">
        <v>45985</v>
      </c>
      <c r="I104" s="70">
        <f t="shared" si="81"/>
        <v>-4</v>
      </c>
      <c r="J104" s="71">
        <v>3.6789999999999998</v>
      </c>
      <c r="K104" s="72">
        <v>3.48</v>
      </c>
      <c r="L104" s="73">
        <v>4.32</v>
      </c>
      <c r="M104" s="83">
        <v>260</v>
      </c>
      <c r="N104" s="67">
        <v>46007</v>
      </c>
      <c r="O104" s="70">
        <f t="shared" si="61"/>
        <v>22</v>
      </c>
      <c r="P104" s="3">
        <f t="shared" si="62"/>
        <v>-54.339999999999904</v>
      </c>
      <c r="Q104" s="75">
        <f t="shared" si="63"/>
        <v>-5.6808915466159182E-2</v>
      </c>
      <c r="R104" s="3">
        <f t="shared" si="64"/>
        <v>-51.739999999999959</v>
      </c>
      <c r="S104" s="75">
        <f t="shared" si="65"/>
        <v>-5.4090785539548748E-2</v>
      </c>
      <c r="T104" s="67"/>
      <c r="U104" s="70" t="str">
        <f t="shared" si="66"/>
        <v/>
      </c>
      <c r="V104" s="3" t="str">
        <f t="shared" si="93"/>
        <v/>
      </c>
      <c r="W104" s="75" t="str">
        <f t="shared" si="94"/>
        <v/>
      </c>
      <c r="X104" s="76">
        <f t="shared" si="69"/>
        <v>166.66000000000011</v>
      </c>
      <c r="Y104" s="75">
        <f t="shared" si="70"/>
        <v>0.17423212829573265</v>
      </c>
      <c r="Z104" s="77">
        <f t="shared" si="71"/>
        <v>3.2211055276381955</v>
      </c>
      <c r="AA104" s="78">
        <v>3.47</v>
      </c>
      <c r="AB104" s="70" t="str">
        <f t="shared" ca="1" si="72"/>
        <v/>
      </c>
      <c r="AC104" s="75" t="str">
        <f t="shared" si="73"/>
        <v/>
      </c>
      <c r="AD104" s="22" t="str">
        <f t="shared" si="74"/>
        <v/>
      </c>
      <c r="AE104" s="22" t="str">
        <f t="shared" si="75"/>
        <v/>
      </c>
      <c r="AF104" s="4" t="str">
        <f t="shared" si="76"/>
        <v/>
      </c>
      <c r="AG104" s="3" t="str">
        <f t="shared" si="77"/>
        <v/>
      </c>
      <c r="AH104" s="79" t="str">
        <f t="shared" si="78"/>
        <v/>
      </c>
    </row>
    <row r="105" spans="1:34" x14ac:dyDescent="0.25">
      <c r="A105" s="63">
        <v>29</v>
      </c>
      <c r="B105" s="84" t="s">
        <v>137</v>
      </c>
      <c r="C105" s="65" t="e">
        <f>VLOOKUP(B105,Probabilidad,$C$115,FALSE)</f>
        <v>#N/A</v>
      </c>
      <c r="D105" s="66">
        <f t="shared" si="80"/>
        <v>884</v>
      </c>
      <c r="E105" s="67">
        <v>46033</v>
      </c>
      <c r="F105" s="68" t="s">
        <v>95</v>
      </c>
      <c r="G105" s="69" t="e">
        <f t="shared" si="105"/>
        <v>#N/A</v>
      </c>
      <c r="H105" s="67">
        <v>46034</v>
      </c>
      <c r="I105" s="70">
        <f t="shared" si="81"/>
        <v>1</v>
      </c>
      <c r="J105" s="71">
        <v>3.4</v>
      </c>
      <c r="K105" s="72">
        <v>3.4180000000000001</v>
      </c>
      <c r="L105" s="73">
        <v>3.8159999999999998</v>
      </c>
      <c r="M105" s="83">
        <v>260</v>
      </c>
      <c r="N105" s="67">
        <v>46036</v>
      </c>
      <c r="O105" s="70">
        <f t="shared" si="61"/>
        <v>2</v>
      </c>
      <c r="P105" s="3">
        <f t="shared" si="62"/>
        <v>-5.7199999999999473</v>
      </c>
      <c r="Q105" s="75">
        <f t="shared" si="63"/>
        <v>-6.4705882352940579E-3</v>
      </c>
      <c r="R105" s="3">
        <f t="shared" si="64"/>
        <v>4.6800000000000619</v>
      </c>
      <c r="S105" s="75">
        <f t="shared" si="65"/>
        <v>5.2941176470588935E-3</v>
      </c>
      <c r="T105" s="67"/>
      <c r="U105" s="70" t="str">
        <f t="shared" si="66"/>
        <v/>
      </c>
      <c r="V105" s="3" t="str">
        <f t="shared" si="93"/>
        <v/>
      </c>
      <c r="W105" s="75" t="str">
        <f t="shared" si="94"/>
        <v/>
      </c>
      <c r="X105" s="76">
        <f t="shared" si="69"/>
        <v>108.15999999999998</v>
      </c>
      <c r="Y105" s="75">
        <f t="shared" si="70"/>
        <v>0.12235294117647057</v>
      </c>
      <c r="Z105" s="77">
        <f t="shared" si="71"/>
        <v>-23.111111111110802</v>
      </c>
      <c r="AA105" s="78">
        <v>3.3780000000000001</v>
      </c>
      <c r="AB105" s="70" t="str">
        <f t="shared" ca="1" si="72"/>
        <v/>
      </c>
      <c r="AC105" s="75" t="str">
        <f t="shared" si="73"/>
        <v/>
      </c>
      <c r="AD105" s="22" t="str">
        <f t="shared" si="74"/>
        <v/>
      </c>
      <c r="AE105" s="22" t="str">
        <f t="shared" si="75"/>
        <v/>
      </c>
      <c r="AF105" s="4" t="str">
        <f t="shared" si="76"/>
        <v/>
      </c>
      <c r="AG105" s="3" t="str">
        <f t="shared" si="77"/>
        <v/>
      </c>
      <c r="AH105" s="79" t="str">
        <f t="shared" si="78"/>
        <v/>
      </c>
    </row>
    <row r="106" spans="1:34" x14ac:dyDescent="0.25">
      <c r="B106" s="84" t="s">
        <v>81</v>
      </c>
      <c r="C106" s="65">
        <f>VLOOKUP(B106,Probabilidad,$C$115,FALSE)</f>
        <v>0.5</v>
      </c>
      <c r="D106" s="66">
        <f t="shared" si="80"/>
        <v>873.08</v>
      </c>
      <c r="E106" s="67">
        <v>46036</v>
      </c>
      <c r="F106" s="68" t="s">
        <v>60</v>
      </c>
      <c r="G106" s="69">
        <f t="shared" si="21"/>
        <v>-4.6795418191709626E-3</v>
      </c>
      <c r="H106" s="67">
        <v>46036</v>
      </c>
      <c r="I106" s="70">
        <f t="shared" si="81"/>
        <v>0</v>
      </c>
      <c r="J106" s="71">
        <v>3.3580000000000001</v>
      </c>
      <c r="K106" s="72">
        <v>3.3029999999999999</v>
      </c>
      <c r="L106" s="73">
        <v>3.7850000000000001</v>
      </c>
      <c r="M106" s="83">
        <v>260</v>
      </c>
      <c r="N106" s="67"/>
      <c r="O106" s="70" t="str">
        <f t="shared" si="61"/>
        <v/>
      </c>
      <c r="P106" s="3" t="str">
        <f t="shared" si="62"/>
        <v/>
      </c>
      <c r="Q106" s="75" t="str">
        <f t="shared" si="63"/>
        <v/>
      </c>
      <c r="R106" s="3">
        <f t="shared" si="64"/>
        <v>-14.300000000000042</v>
      </c>
      <c r="S106" s="75">
        <f t="shared" si="65"/>
        <v>-1.6378796902918449E-2</v>
      </c>
      <c r="T106" s="67"/>
      <c r="U106" s="70" t="str">
        <f t="shared" si="66"/>
        <v/>
      </c>
      <c r="V106" s="3" t="str">
        <f t="shared" si="93"/>
        <v/>
      </c>
      <c r="W106" s="75" t="str">
        <f t="shared" si="94"/>
        <v/>
      </c>
      <c r="X106" s="76">
        <f t="shared" si="69"/>
        <v>111.02000000000001</v>
      </c>
      <c r="Y106" s="75">
        <f t="shared" si="70"/>
        <v>0.12715902322811198</v>
      </c>
      <c r="Z106" s="77">
        <f t="shared" si="71"/>
        <v>7.7636363636363415</v>
      </c>
      <c r="AA106" s="78">
        <f>VLOOKUP(B106,EntradaDatos,$AA$115,FALSE)</f>
        <v>3.34</v>
      </c>
      <c r="AB106" s="70">
        <f t="shared" ca="1" si="72"/>
        <v>3</v>
      </c>
      <c r="AC106" s="75" t="str">
        <f t="shared" si="73"/>
        <v/>
      </c>
      <c r="AD106" s="22">
        <f t="shared" si="74"/>
        <v>1.120193763245525E-2</v>
      </c>
      <c r="AE106" s="22">
        <f t="shared" si="75"/>
        <v>-0.11756935270805824</v>
      </c>
      <c r="AF106" s="4">
        <f t="shared" si="76"/>
        <v>10.495447891749178</v>
      </c>
      <c r="AG106" s="3">
        <f t="shared" si="77"/>
        <v>-4.6800000000000566</v>
      </c>
      <c r="AH106" s="79">
        <f t="shared" si="78"/>
        <v>-5.3603335318642698E-3</v>
      </c>
    </row>
    <row r="107" spans="1:34" x14ac:dyDescent="0.25">
      <c r="B107" s="80" t="s">
        <v>48</v>
      </c>
      <c r="C107" s="65" t="e">
        <f t="shared" ref="C107" si="106">VLOOKUP(B107,Probabilidad,$C$115,FALSE)</f>
        <v>#N/A</v>
      </c>
      <c r="D107" s="66">
        <f t="shared" si="80"/>
        <v>1004.3439999999999</v>
      </c>
      <c r="E107" s="67">
        <v>46024</v>
      </c>
      <c r="F107" s="68" t="s">
        <v>1</v>
      </c>
      <c r="G107" s="69">
        <f t="shared" ref="G107" si="107">VLOOKUP(B107,DataTrend,2,FALSE)</f>
        <v>-6.0906005645834146E-3</v>
      </c>
      <c r="H107" s="82"/>
      <c r="I107" s="70" t="str">
        <f t="shared" si="81"/>
        <v/>
      </c>
      <c r="J107" s="71">
        <v>8.8879999999999999</v>
      </c>
      <c r="K107" s="72">
        <v>8.4339999999999993</v>
      </c>
      <c r="L107" s="73">
        <v>9.8620000000000001</v>
      </c>
      <c r="M107" s="83">
        <v>113</v>
      </c>
      <c r="N107" s="67"/>
      <c r="O107" s="70" t="str">
        <f t="shared" si="61"/>
        <v/>
      </c>
      <c r="P107" s="3" t="str">
        <f t="shared" si="62"/>
        <v/>
      </c>
      <c r="Q107" s="75" t="str">
        <f t="shared" si="63"/>
        <v/>
      </c>
      <c r="R107" s="3">
        <f t="shared" si="64"/>
        <v>-51.302000000000071</v>
      </c>
      <c r="S107" s="75">
        <f t="shared" si="65"/>
        <v>-5.1080108010801151E-2</v>
      </c>
      <c r="T107" s="67"/>
      <c r="U107" s="70" t="str">
        <f t="shared" si="66"/>
        <v/>
      </c>
      <c r="V107" s="3" t="str">
        <f t="shared" si="93"/>
        <v/>
      </c>
      <c r="W107" s="75" t="str">
        <f t="shared" si="94"/>
        <v/>
      </c>
      <c r="X107" s="76">
        <f t="shared" si="69"/>
        <v>110.06200000000003</v>
      </c>
      <c r="Y107" s="75">
        <f t="shared" si="70"/>
        <v>0.10958595859585962</v>
      </c>
      <c r="Z107" s="77">
        <f t="shared" si="71"/>
        <v>2.1453744493392044</v>
      </c>
      <c r="AA107" s="78">
        <f>VLOOKUP(B107,EntradaDatos,$AA$115,FALSE)</f>
        <v>10.32</v>
      </c>
      <c r="AB107" s="70" t="str">
        <f t="shared" ca="1" si="72"/>
        <v/>
      </c>
      <c r="AC107" s="75">
        <f t="shared" si="73"/>
        <v>0.16111611161116124</v>
      </c>
      <c r="AD107" s="22">
        <f t="shared" si="74"/>
        <v>0.22361868626986015</v>
      </c>
      <c r="AE107" s="22">
        <f t="shared" si="75"/>
        <v>4.6440884201987442E-2</v>
      </c>
      <c r="AF107" s="4">
        <f t="shared" si="76"/>
        <v>-0.20767890634123118</v>
      </c>
      <c r="AG107" s="3" t="str">
        <f t="shared" si="77"/>
        <v/>
      </c>
      <c r="AH107" s="79" t="str">
        <f t="shared" si="78"/>
        <v/>
      </c>
    </row>
    <row r="108" spans="1:34" x14ac:dyDescent="0.25">
      <c r="B108" s="80" t="s">
        <v>92</v>
      </c>
      <c r="C108" s="65">
        <f t="shared" ref="C108" si="108">VLOOKUP(B108,Probabilidad,$C$115,FALSE)</f>
        <v>0.5</v>
      </c>
      <c r="D108" s="66">
        <f t="shared" si="80"/>
        <v>999.96999999999991</v>
      </c>
      <c r="E108" s="67">
        <v>46032</v>
      </c>
      <c r="F108" s="68" t="s">
        <v>180</v>
      </c>
      <c r="G108" s="69">
        <f t="shared" si="21"/>
        <v>-1.2867497575734532E-2</v>
      </c>
      <c r="H108" s="67">
        <v>46034</v>
      </c>
      <c r="I108" s="70">
        <f t="shared" si="81"/>
        <v>2</v>
      </c>
      <c r="J108" s="71">
        <v>3.61</v>
      </c>
      <c r="K108" s="72">
        <v>3.1850000000000001</v>
      </c>
      <c r="L108" s="73">
        <v>4.3449999999999998</v>
      </c>
      <c r="M108" s="83">
        <v>277</v>
      </c>
      <c r="N108" s="67"/>
      <c r="O108" s="70" t="str">
        <f t="shared" si="61"/>
        <v/>
      </c>
      <c r="P108" s="3" t="str">
        <f t="shared" si="62"/>
        <v/>
      </c>
      <c r="Q108" s="75" t="str">
        <f t="shared" si="63"/>
        <v/>
      </c>
      <c r="R108" s="3">
        <f t="shared" si="64"/>
        <v>-117.72499999999995</v>
      </c>
      <c r="S108" s="75">
        <f t="shared" si="65"/>
        <v>-0.11772853185595564</v>
      </c>
      <c r="T108" s="67"/>
      <c r="U108" s="70" t="str">
        <f t="shared" si="66"/>
        <v/>
      </c>
      <c r="V108" s="3" t="str">
        <f t="shared" si="93"/>
        <v/>
      </c>
      <c r="W108" s="75" t="str">
        <f t="shared" si="94"/>
        <v/>
      </c>
      <c r="X108" s="76">
        <f t="shared" si="69"/>
        <v>203.59499999999997</v>
      </c>
      <c r="Y108" s="75">
        <f t="shared" si="70"/>
        <v>0.203601108033241</v>
      </c>
      <c r="Z108" s="77">
        <f t="shared" si="71"/>
        <v>1.7294117647058829</v>
      </c>
      <c r="AA108" s="78">
        <f>VLOOKUP(B108,EntradaDatos,$AA$115,FALSE)</f>
        <v>3.35</v>
      </c>
      <c r="AB108" s="70">
        <f t="shared" ca="1" si="72"/>
        <v>5</v>
      </c>
      <c r="AC108" s="75" t="str">
        <f t="shared" si="73"/>
        <v/>
      </c>
      <c r="AD108" s="22">
        <f t="shared" si="74"/>
        <v>5.180533751962324E-2</v>
      </c>
      <c r="AE108" s="22">
        <f t="shared" si="75"/>
        <v>-0.22899884925201375</v>
      </c>
      <c r="AF108" s="4">
        <f t="shared" si="76"/>
        <v>4.4203717264706892</v>
      </c>
      <c r="AG108" s="3">
        <f t="shared" si="77"/>
        <v>-72.019999999999968</v>
      </c>
      <c r="AH108" s="79">
        <f t="shared" si="78"/>
        <v>-7.2022160664819923E-2</v>
      </c>
    </row>
    <row r="109" spans="1:34" x14ac:dyDescent="0.25">
      <c r="A109" s="63">
        <v>24</v>
      </c>
      <c r="B109" s="80" t="s">
        <v>138</v>
      </c>
      <c r="C109" s="65" t="e">
        <f t="shared" ref="C109:C114" si="109">VLOOKUP(B109,Probabilidad,$C$115,FALSE)</f>
        <v>#N/A</v>
      </c>
      <c r="D109" s="66">
        <f t="shared" si="80"/>
        <v>1057.92</v>
      </c>
      <c r="E109" s="67">
        <v>46029</v>
      </c>
      <c r="F109" s="68" t="s">
        <v>95</v>
      </c>
      <c r="G109" s="69" t="e">
        <f t="shared" ref="G109" si="110">VLOOKUP(B109,DataTrend,2,FALSE)</f>
        <v>#N/A</v>
      </c>
      <c r="H109" s="67">
        <v>46030</v>
      </c>
      <c r="I109" s="70">
        <f t="shared" si="81"/>
        <v>1</v>
      </c>
      <c r="J109" s="71">
        <v>352.64</v>
      </c>
      <c r="K109" s="72">
        <v>349.03</v>
      </c>
      <c r="L109" s="73">
        <v>359.08</v>
      </c>
      <c r="M109" s="83">
        <v>3</v>
      </c>
      <c r="N109" s="67">
        <v>46034</v>
      </c>
      <c r="O109" s="70">
        <f t="shared" si="61"/>
        <v>4</v>
      </c>
      <c r="P109" s="3">
        <f t="shared" si="62"/>
        <v>-30.419999999999959</v>
      </c>
      <c r="Q109" s="75">
        <f t="shared" si="63"/>
        <v>-2.8754537205081629E-2</v>
      </c>
      <c r="R109" s="3">
        <f t="shared" si="64"/>
        <v>-10.830000000000041</v>
      </c>
      <c r="S109" s="75">
        <f t="shared" si="65"/>
        <v>-1.0237068965517279E-2</v>
      </c>
      <c r="T109" s="67"/>
      <c r="U109" s="70" t="str">
        <f t="shared" si="66"/>
        <v/>
      </c>
      <c r="V109" s="3" t="str">
        <f t="shared" si="93"/>
        <v/>
      </c>
      <c r="W109" s="75" t="str">
        <f t="shared" si="94"/>
        <v/>
      </c>
      <c r="X109" s="76">
        <f t="shared" si="69"/>
        <v>19.319999999999993</v>
      </c>
      <c r="Y109" s="75">
        <f t="shared" si="70"/>
        <v>1.8262250453720499E-2</v>
      </c>
      <c r="Z109" s="77">
        <f t="shared" si="71"/>
        <v>1.7839335180055329</v>
      </c>
      <c r="AA109" s="78">
        <v>342.5</v>
      </c>
      <c r="AB109" s="70" t="str">
        <f t="shared" ca="1" si="72"/>
        <v/>
      </c>
      <c r="AC109" s="75" t="str">
        <f t="shared" si="73"/>
        <v/>
      </c>
      <c r="AD109" s="22" t="str">
        <f t="shared" si="74"/>
        <v/>
      </c>
      <c r="AE109" s="22" t="str">
        <f t="shared" si="75"/>
        <v/>
      </c>
      <c r="AF109" s="4" t="str">
        <f t="shared" si="76"/>
        <v/>
      </c>
      <c r="AG109" s="3" t="str">
        <f t="shared" si="77"/>
        <v/>
      </c>
      <c r="AH109" s="79" t="str">
        <f t="shared" si="78"/>
        <v/>
      </c>
    </row>
    <row r="110" spans="1:34" x14ac:dyDescent="0.25">
      <c r="B110" s="80" t="s">
        <v>77</v>
      </c>
      <c r="C110" s="65">
        <f t="shared" si="109"/>
        <v>0.5</v>
      </c>
      <c r="D110" s="66">
        <f t="shared" si="80"/>
        <v>993.33</v>
      </c>
      <c r="E110" s="67">
        <v>46034</v>
      </c>
      <c r="F110" s="68" t="s">
        <v>60</v>
      </c>
      <c r="G110" s="69">
        <f t="shared" si="21"/>
        <v>-9.8037252719365368E-3</v>
      </c>
      <c r="H110" s="67">
        <v>46035</v>
      </c>
      <c r="I110" s="70">
        <f t="shared" si="81"/>
        <v>1</v>
      </c>
      <c r="J110" s="71">
        <v>331.11</v>
      </c>
      <c r="K110" s="72">
        <v>318.86</v>
      </c>
      <c r="L110" s="73">
        <v>359.08</v>
      </c>
      <c r="M110" s="83">
        <v>3</v>
      </c>
      <c r="N110" s="67"/>
      <c r="O110" s="70" t="str">
        <f t="shared" si="61"/>
        <v/>
      </c>
      <c r="P110" s="3" t="str">
        <f t="shared" si="62"/>
        <v/>
      </c>
      <c r="Q110" s="75" t="str">
        <f t="shared" si="63"/>
        <v/>
      </c>
      <c r="R110" s="3">
        <f t="shared" si="64"/>
        <v>-36.75</v>
      </c>
      <c r="S110" s="75">
        <f t="shared" si="65"/>
        <v>-3.6996768445531694E-2</v>
      </c>
      <c r="T110" s="67"/>
      <c r="U110" s="70" t="str">
        <f t="shared" si="66"/>
        <v/>
      </c>
      <c r="V110" s="3" t="str">
        <f t="shared" si="93"/>
        <v/>
      </c>
      <c r="W110" s="75" t="str">
        <f t="shared" si="94"/>
        <v/>
      </c>
      <c r="X110" s="76">
        <f t="shared" si="69"/>
        <v>83.909999999999911</v>
      </c>
      <c r="Y110" s="75">
        <f t="shared" si="70"/>
        <v>8.4473437830328194E-2</v>
      </c>
      <c r="Z110" s="77">
        <f t="shared" si="71"/>
        <v>2.2832653061224466</v>
      </c>
      <c r="AA110" s="78">
        <f>VLOOKUP(B110,EntradaDatos,$AA$115,FALSE)</f>
        <v>328.3</v>
      </c>
      <c r="AB110" s="70">
        <f t="shared" ca="1" si="72"/>
        <v>4</v>
      </c>
      <c r="AC110" s="75" t="str">
        <f t="shared" si="73"/>
        <v/>
      </c>
      <c r="AD110" s="22">
        <f t="shared" si="74"/>
        <v>2.9605469485040503E-2</v>
      </c>
      <c r="AE110" s="22">
        <f t="shared" si="75"/>
        <v>-8.5719059819538757E-2</v>
      </c>
      <c r="AF110" s="4">
        <f t="shared" si="76"/>
        <v>2.8953791752180176</v>
      </c>
      <c r="AG110" s="3">
        <f t="shared" si="77"/>
        <v>-8.4300000000000317</v>
      </c>
      <c r="AH110" s="79">
        <f t="shared" si="78"/>
        <v>-8.4866056597505679E-3</v>
      </c>
    </row>
    <row r="111" spans="1:34" x14ac:dyDescent="0.25">
      <c r="A111" s="63">
        <v>35</v>
      </c>
      <c r="B111" s="84" t="s">
        <v>139</v>
      </c>
      <c r="C111" s="65" t="e">
        <f t="shared" si="109"/>
        <v>#N/A</v>
      </c>
      <c r="D111" s="66">
        <f t="shared" si="80"/>
        <v>1046</v>
      </c>
      <c r="E111" s="67">
        <v>46032</v>
      </c>
      <c r="F111" s="68" t="s">
        <v>95</v>
      </c>
      <c r="G111" s="69" t="e">
        <f t="shared" si="21"/>
        <v>#N/A</v>
      </c>
      <c r="H111" s="67">
        <v>46034</v>
      </c>
      <c r="I111" s="70">
        <f t="shared" si="81"/>
        <v>2</v>
      </c>
      <c r="J111" s="71">
        <v>104.6</v>
      </c>
      <c r="K111" s="72">
        <v>101.72</v>
      </c>
      <c r="L111" s="73">
        <v>109.69</v>
      </c>
      <c r="M111" s="83">
        <v>10</v>
      </c>
      <c r="N111" s="67">
        <v>46038</v>
      </c>
      <c r="O111" s="70">
        <f t="shared" si="61"/>
        <v>4</v>
      </c>
      <c r="P111" s="3">
        <f t="shared" si="62"/>
        <v>-30.999999999999943</v>
      </c>
      <c r="Q111" s="75">
        <f t="shared" si="63"/>
        <v>-2.9636711281070691E-2</v>
      </c>
      <c r="R111" s="3">
        <f t="shared" si="64"/>
        <v>-28.799999999999955</v>
      </c>
      <c r="S111" s="75">
        <f t="shared" si="65"/>
        <v>-2.7533460803059229E-2</v>
      </c>
      <c r="T111" s="67"/>
      <c r="U111" s="70" t="str">
        <f t="shared" si="66"/>
        <v/>
      </c>
      <c r="V111" s="3" t="str">
        <f t="shared" si="93"/>
        <v/>
      </c>
      <c r="W111" s="75" t="str">
        <f t="shared" si="94"/>
        <v/>
      </c>
      <c r="X111" s="76">
        <f t="shared" si="69"/>
        <v>50.900000000000034</v>
      </c>
      <c r="Y111" s="75">
        <f t="shared" si="70"/>
        <v>4.8661567877629097E-2</v>
      </c>
      <c r="Z111" s="77">
        <f t="shared" si="71"/>
        <v>1.7673611111111152</v>
      </c>
      <c r="AA111" s="78">
        <v>101.5</v>
      </c>
      <c r="AB111" s="70" t="str">
        <f t="shared" ca="1" si="72"/>
        <v/>
      </c>
      <c r="AC111" s="75" t="str">
        <f t="shared" si="73"/>
        <v/>
      </c>
      <c r="AD111" s="22" t="str">
        <f t="shared" si="74"/>
        <v/>
      </c>
      <c r="AE111" s="22" t="str">
        <f t="shared" si="75"/>
        <v/>
      </c>
      <c r="AF111" s="4" t="str">
        <f t="shared" si="76"/>
        <v/>
      </c>
      <c r="AG111" s="3" t="str">
        <f t="shared" si="77"/>
        <v/>
      </c>
      <c r="AH111" s="79" t="str">
        <f t="shared" si="78"/>
        <v/>
      </c>
    </row>
    <row r="112" spans="1:34" x14ac:dyDescent="0.25">
      <c r="B112" s="80" t="s">
        <v>76</v>
      </c>
      <c r="C112" s="65" t="e">
        <f t="shared" si="109"/>
        <v>#N/A</v>
      </c>
      <c r="D112" s="66">
        <f t="shared" si="80"/>
        <v>1011</v>
      </c>
      <c r="E112" s="67">
        <v>46038</v>
      </c>
      <c r="F112" s="68" t="s">
        <v>60</v>
      </c>
      <c r="G112" s="69">
        <f t="shared" ref="G112:G113" si="111">VLOOKUP(B112,DataTrend,2,FALSE)</f>
        <v>-1.4507741406968311E-3</v>
      </c>
      <c r="H112" s="67">
        <v>46038</v>
      </c>
      <c r="I112" s="70">
        <f t="shared" si="81"/>
        <v>0</v>
      </c>
      <c r="J112" s="71">
        <v>101.1</v>
      </c>
      <c r="K112" s="72">
        <v>100.07</v>
      </c>
      <c r="L112" s="73">
        <v>109.69</v>
      </c>
      <c r="M112" s="83">
        <v>10</v>
      </c>
      <c r="N112" s="67"/>
      <c r="O112" s="70" t="str">
        <f t="shared" si="61"/>
        <v/>
      </c>
      <c r="P112" s="3" t="str">
        <f t="shared" si="62"/>
        <v/>
      </c>
      <c r="Q112" s="75" t="str">
        <f t="shared" si="63"/>
        <v/>
      </c>
      <c r="R112" s="3">
        <f t="shared" si="64"/>
        <v>-10.300000000000011</v>
      </c>
      <c r="S112" s="75">
        <f t="shared" si="65"/>
        <v>-1.0187932739861535E-2</v>
      </c>
      <c r="T112" s="67"/>
      <c r="U112" s="70" t="str">
        <f t="shared" si="66"/>
        <v/>
      </c>
      <c r="V112" s="3" t="str">
        <f t="shared" si="93"/>
        <v/>
      </c>
      <c r="W112" s="75" t="str">
        <f t="shared" si="94"/>
        <v/>
      </c>
      <c r="X112" s="76">
        <f t="shared" si="69"/>
        <v>85.900000000000034</v>
      </c>
      <c r="Y112" s="75">
        <f t="shared" si="70"/>
        <v>8.496538081107817E-2</v>
      </c>
      <c r="Z112" s="77">
        <f t="shared" si="71"/>
        <v>8.3398058252427134</v>
      </c>
      <c r="AA112" s="78">
        <f>VLOOKUP(B112,EntradaDatos,$AA$115,FALSE)</f>
        <v>101.4</v>
      </c>
      <c r="AB112" s="70">
        <f t="shared" ca="1" si="72"/>
        <v>1</v>
      </c>
      <c r="AC112" s="75" t="str">
        <f t="shared" si="73"/>
        <v/>
      </c>
      <c r="AD112" s="22">
        <f t="shared" si="74"/>
        <v>1.3290696512441524E-2</v>
      </c>
      <c r="AE112" s="22">
        <f t="shared" si="75"/>
        <v>-7.5576625034187161E-2</v>
      </c>
      <c r="AF112" s="4">
        <f t="shared" si="76"/>
        <v>5.6864307271962229</v>
      </c>
      <c r="AG112" s="3">
        <f t="shared" si="77"/>
        <v>3.0000000000002158</v>
      </c>
      <c r="AH112" s="79">
        <f t="shared" si="78"/>
        <v>2.9673590504453173E-3</v>
      </c>
    </row>
    <row r="113" spans="1:34" x14ac:dyDescent="0.25">
      <c r="A113" s="63">
        <v>6</v>
      </c>
      <c r="B113" s="64" t="s">
        <v>99</v>
      </c>
      <c r="C113" s="65" t="e">
        <f t="shared" si="109"/>
        <v>#N/A</v>
      </c>
      <c r="D113" s="66">
        <f t="shared" si="80"/>
        <v>1018.9200000000001</v>
      </c>
      <c r="E113" s="67">
        <v>45989</v>
      </c>
      <c r="F113" s="68" t="s">
        <v>95</v>
      </c>
      <c r="G113" s="69" t="e">
        <f t="shared" si="111"/>
        <v>#N/A</v>
      </c>
      <c r="H113" s="67">
        <v>45985</v>
      </c>
      <c r="I113" s="70">
        <f t="shared" si="81"/>
        <v>-4</v>
      </c>
      <c r="J113" s="71">
        <v>2.4260000000000002</v>
      </c>
      <c r="K113" s="72">
        <v>2.2799999999999998</v>
      </c>
      <c r="L113" s="73">
        <v>2.75</v>
      </c>
      <c r="M113" s="83">
        <v>420</v>
      </c>
      <c r="N113" s="67"/>
      <c r="O113" s="70" t="str">
        <f t="shared" si="61"/>
        <v/>
      </c>
      <c r="P113" s="3" t="str">
        <f t="shared" si="62"/>
        <v/>
      </c>
      <c r="Q113" s="75" t="str">
        <f t="shared" si="63"/>
        <v/>
      </c>
      <c r="R113" s="3">
        <f t="shared" si="64"/>
        <v>-61.320000000000149</v>
      </c>
      <c r="S113" s="75">
        <f t="shared" si="65"/>
        <v>-6.0181368507831963E-2</v>
      </c>
      <c r="T113" s="67">
        <v>46007</v>
      </c>
      <c r="U113" s="70">
        <f t="shared" si="66"/>
        <v>22</v>
      </c>
      <c r="V113" s="3">
        <f t="shared" si="93"/>
        <v>143.63999999999984</v>
      </c>
      <c r="W113" s="75">
        <f t="shared" si="94"/>
        <v>0.14097279472382507</v>
      </c>
      <c r="X113" s="76">
        <f t="shared" si="69"/>
        <v>136.07999999999993</v>
      </c>
      <c r="Y113" s="75">
        <f t="shared" si="70"/>
        <v>0.13355317394888697</v>
      </c>
      <c r="Z113" s="77">
        <f t="shared" si="71"/>
        <v>2.2191780821917741</v>
      </c>
      <c r="AA113" s="78">
        <v>2.7679999999999998</v>
      </c>
      <c r="AB113" s="70" t="str">
        <f t="shared" ca="1" si="72"/>
        <v/>
      </c>
      <c r="AC113" s="75" t="str">
        <f t="shared" si="73"/>
        <v/>
      </c>
      <c r="AD113" s="22" t="str">
        <f t="shared" si="74"/>
        <v/>
      </c>
      <c r="AE113" s="22" t="str">
        <f t="shared" si="75"/>
        <v/>
      </c>
      <c r="AF113" s="4" t="str">
        <f t="shared" si="76"/>
        <v/>
      </c>
      <c r="AG113" s="3" t="str">
        <f t="shared" si="77"/>
        <v/>
      </c>
      <c r="AH113" s="79" t="str">
        <f t="shared" si="78"/>
        <v/>
      </c>
    </row>
    <row r="114" spans="1:34" ht="15.75" thickBot="1" x14ac:dyDescent="0.3">
      <c r="B114" s="64" t="s">
        <v>49</v>
      </c>
      <c r="C114" s="65">
        <f t="shared" si="109"/>
        <v>0.5</v>
      </c>
      <c r="D114" s="66">
        <f t="shared" si="80"/>
        <v>1014.7199999999999</v>
      </c>
      <c r="E114" s="67">
        <v>46033</v>
      </c>
      <c r="F114" s="68" t="s">
        <v>1</v>
      </c>
      <c r="G114" s="69">
        <f t="shared" si="21"/>
        <v>-1.4388725280804881E-2</v>
      </c>
      <c r="H114" s="82"/>
      <c r="I114" s="70" t="str">
        <f t="shared" si="81"/>
        <v/>
      </c>
      <c r="J114" s="71">
        <v>2.4159999999999999</v>
      </c>
      <c r="K114" s="72">
        <v>2.2599999999999998</v>
      </c>
      <c r="L114" s="73">
        <v>2.8439999999999999</v>
      </c>
      <c r="M114" s="83">
        <v>420</v>
      </c>
      <c r="N114" s="67"/>
      <c r="O114" s="70" t="str">
        <f t="shared" si="61"/>
        <v/>
      </c>
      <c r="P114" s="3" t="str">
        <f t="shared" si="62"/>
        <v/>
      </c>
      <c r="Q114" s="75" t="str">
        <f t="shared" si="63"/>
        <v/>
      </c>
      <c r="R114" s="3">
        <f t="shared" si="64"/>
        <v>-65.520000000000053</v>
      </c>
      <c r="S114" s="75">
        <f t="shared" si="65"/>
        <v>-6.4569536423841112E-2</v>
      </c>
      <c r="T114" s="67"/>
      <c r="U114" s="70" t="str">
        <f t="shared" si="66"/>
        <v/>
      </c>
      <c r="V114" s="3" t="str">
        <f t="shared" si="93"/>
        <v/>
      </c>
      <c r="W114" s="75" t="str">
        <f t="shared" si="94"/>
        <v/>
      </c>
      <c r="X114" s="76">
        <f t="shared" si="69"/>
        <v>179.75999999999996</v>
      </c>
      <c r="Y114" s="75">
        <f t="shared" si="70"/>
        <v>0.17715231788079469</v>
      </c>
      <c r="Z114" s="77">
        <f t="shared" si="71"/>
        <v>2.7435897435897409</v>
      </c>
      <c r="AA114" s="78">
        <f>VLOOKUP(B114,EntradaDatos,$AA$115,FALSE)</f>
        <v>2.83</v>
      </c>
      <c r="AB114" s="70" t="str">
        <f t="shared" ca="1" si="72"/>
        <v/>
      </c>
      <c r="AC114" s="75">
        <f t="shared" si="73"/>
        <v>0.17135761589403975</v>
      </c>
      <c r="AD114" s="22">
        <f t="shared" si="74"/>
        <v>0.25221238938053103</v>
      </c>
      <c r="AE114" s="22">
        <f t="shared" si="75"/>
        <v>-4.9226441631504692E-3</v>
      </c>
      <c r="AF114" s="4">
        <f t="shared" si="76"/>
        <v>1.9517852296000102E-2</v>
      </c>
      <c r="AG114" s="3" t="str">
        <f t="shared" si="77"/>
        <v/>
      </c>
      <c r="AH114" s="79" t="str">
        <f t="shared" si="78"/>
        <v/>
      </c>
    </row>
    <row r="115" spans="1:34" ht="16.5" thickTop="1" thickBot="1" x14ac:dyDescent="0.3">
      <c r="A115" s="86">
        <f>COUNTA(A$4:A$114)</f>
        <v>36</v>
      </c>
      <c r="B115" s="86">
        <f>COUNTA(B$4:B$114)</f>
        <v>111</v>
      </c>
      <c r="C115" s="87">
        <v>3</v>
      </c>
      <c r="D115" s="88">
        <f>AVERAGE(D$4:D$114)</f>
        <v>1094.2027388468462</v>
      </c>
      <c r="E115" s="89">
        <f>AVERAGE(E$4:E$114)</f>
        <v>46021.432432432433</v>
      </c>
      <c r="F115" s="90"/>
      <c r="G115" s="90"/>
      <c r="H115" s="89">
        <f>AVERAGE(H$4:H$114)</f>
        <v>46016.061538461538</v>
      </c>
      <c r="I115" s="91">
        <f>AVERAGE(I4:I114)</f>
        <v>0.6</v>
      </c>
      <c r="J115" s="90"/>
      <c r="K115" s="90"/>
      <c r="L115" s="90"/>
      <c r="N115" s="92">
        <f>COUNTA(N4:N114)</f>
        <v>21</v>
      </c>
      <c r="O115" s="93">
        <f>AVERAGE(O4:O114)</f>
        <v>5.8571428571428568</v>
      </c>
      <c r="P115" s="94">
        <f>SUM(P4:P114)</f>
        <v>-598.94901199999958</v>
      </c>
      <c r="Q115" s="95">
        <f>AVERAGE(Q4:Q114)</f>
        <v>-2.8292079230235304E-2</v>
      </c>
      <c r="R115" s="94">
        <f>AVERAGE(R4:R114)</f>
        <v>-52.196761369369383</v>
      </c>
      <c r="S115" s="96">
        <f>AVERAGE(S4:S114)</f>
        <v>-4.7718000126449236E-2</v>
      </c>
      <c r="T115" s="97">
        <f>COUNTA(T4:T114)</f>
        <v>15</v>
      </c>
      <c r="U115" s="93">
        <f>AVERAGE(U4:U114)</f>
        <v>24.133333333333333</v>
      </c>
      <c r="V115" s="98">
        <f>SUM(V4:V114)</f>
        <v>2371.1350000000002</v>
      </c>
      <c r="W115" s="99">
        <f>AVERAGE(W4:W114)</f>
        <v>0.15960698938384649</v>
      </c>
      <c r="X115" s="100">
        <f>AVERAGE(X4:X114)</f>
        <v>137.36380169369366</v>
      </c>
      <c r="Y115" s="95">
        <f>AVERAGE(Y4:Y114)</f>
        <v>0.12570466890700019</v>
      </c>
      <c r="Z115" s="101">
        <f t="shared" si="71"/>
        <v>2.6316537288902149</v>
      </c>
      <c r="AA115" s="87">
        <v>7</v>
      </c>
      <c r="AB115" s="102">
        <f ca="1">AVERAGE(AB4:AB114)</f>
        <v>17</v>
      </c>
      <c r="AC115" s="96">
        <f>AVERAGE(AC4:AC114)</f>
        <v>0.1153305090451936</v>
      </c>
      <c r="AD115" s="96">
        <f>AVERAGE(AD4:AD114)</f>
        <v>0.13172131003568144</v>
      </c>
      <c r="AE115" s="96">
        <f>AVERAGE(AE4:AE114)</f>
        <v>-4.5233456536615903E-2</v>
      </c>
      <c r="AF115" s="103">
        <f>AVERAGE(AF4:AF114)</f>
        <v>1.6156933687903094</v>
      </c>
      <c r="AG115" s="94">
        <f>SUM(AG4:AG114)</f>
        <v>174.81899999999959</v>
      </c>
      <c r="AH115" s="104">
        <f>AVERAGE(AH4:AH114)</f>
        <v>5.6821048030574004E-3</v>
      </c>
    </row>
    <row r="116" spans="1:34" ht="15.75" thickBot="1" x14ac:dyDescent="0.3">
      <c r="B116" s="105">
        <f>COUNTIF(F$4:F$114,+C116)</f>
        <v>46</v>
      </c>
      <c r="C116" s="106" t="s">
        <v>1</v>
      </c>
      <c r="E116" s="107">
        <f ca="1">+MIN(E$4:E$114)-TODAY()</f>
        <v>-57</v>
      </c>
      <c r="F116" s="108" t="s">
        <v>181</v>
      </c>
      <c r="G116" s="108"/>
      <c r="H116" s="109"/>
      <c r="I116" s="110"/>
      <c r="T116" s="111">
        <f>+T115/(N115+T115)</f>
        <v>0.41666666666666669</v>
      </c>
      <c r="U116" s="3">
        <f>+V116/U115</f>
        <v>73.433121049723781</v>
      </c>
      <c r="V116" s="112">
        <f>+V115+P115</f>
        <v>1772.1859880000006</v>
      </c>
      <c r="W116" s="113" t="s">
        <v>182</v>
      </c>
      <c r="Y116" s="114">
        <f>+D124</f>
        <v>1.7500000000000002E-2</v>
      </c>
      <c r="Z116" s="115"/>
      <c r="AC116" s="116">
        <f ca="1">-H115+TODAY()</f>
        <v>22.938461538462434</v>
      </c>
      <c r="AF116" s="117"/>
      <c r="AG116" t="s">
        <v>183</v>
      </c>
      <c r="AH116" s="114">
        <f>+D124</f>
        <v>1.7500000000000002E-2</v>
      </c>
    </row>
    <row r="117" spans="1:34" ht="15.75" thickBot="1" x14ac:dyDescent="0.3">
      <c r="B117" s="118">
        <f>COUNTIF(F$4:F$114,+C117)</f>
        <v>29</v>
      </c>
      <c r="C117" s="119" t="s">
        <v>60</v>
      </c>
      <c r="E117" s="120">
        <f>MAX(E4:E114)-MIN(E14:E114)</f>
        <v>56</v>
      </c>
      <c r="F117" s="2" t="s">
        <v>184</v>
      </c>
      <c r="G117" s="2"/>
      <c r="I117" s="121"/>
      <c r="N117" s="122">
        <f>MIN(N4:N114)</f>
        <v>45989</v>
      </c>
      <c r="O117" s="113" t="s">
        <v>185</v>
      </c>
      <c r="T117" s="122">
        <f>MIN(T4:T114)</f>
        <v>46001</v>
      </c>
      <c r="U117" s="113" t="s">
        <v>185</v>
      </c>
      <c r="V117" s="3">
        <f>+V116/T115</f>
        <v>118.14573253333337</v>
      </c>
      <c r="W117" s="123" t="s">
        <v>186</v>
      </c>
      <c r="AF117" s="117"/>
      <c r="AG117" s="3">
        <f>AVERAGE(AG4:AG114)</f>
        <v>6.0282413793103311</v>
      </c>
      <c r="AH117">
        <f>COUNT(AH4:AH114)</f>
        <v>29</v>
      </c>
    </row>
    <row r="118" spans="1:34" ht="15.75" thickBot="1" x14ac:dyDescent="0.3">
      <c r="B118" s="124">
        <f>COUNTIF(F$4:F$114,+C118)</f>
        <v>36</v>
      </c>
      <c r="C118" s="125" t="s">
        <v>95</v>
      </c>
      <c r="E118" s="126">
        <f>+E117/(B116+B117)</f>
        <v>0.7466666666666667</v>
      </c>
      <c r="F118" s="127" t="s">
        <v>187</v>
      </c>
      <c r="G118" s="127"/>
      <c r="H118" s="128"/>
      <c r="I118" s="129"/>
      <c r="N118" s="130">
        <f ca="1">+TODAY()-N117</f>
        <v>50</v>
      </c>
      <c r="O118" s="131">
        <f ca="1">+N118/N115</f>
        <v>2.3809523809523809</v>
      </c>
      <c r="T118" s="132">
        <f ca="1">+TODAY()-T117</f>
        <v>38</v>
      </c>
      <c r="U118" s="133">
        <f ca="1">+T118/T115</f>
        <v>2.5333333333333332</v>
      </c>
      <c r="V118" s="3">
        <f>+V116/(T115+N115)</f>
        <v>49.227388555555571</v>
      </c>
      <c r="W118" s="134" t="s">
        <v>188</v>
      </c>
      <c r="X118" s="70"/>
      <c r="Y118" s="70"/>
      <c r="Z118" s="115"/>
      <c r="AF118" s="117"/>
      <c r="AG118" s="135">
        <f>+AG117/1000</f>
        <v>6.0282413793103307E-3</v>
      </c>
    </row>
    <row r="119" spans="1:34" ht="16.5" thickTop="1" thickBot="1" x14ac:dyDescent="0.3">
      <c r="B119" s="136">
        <f>SUM(B116:B118)</f>
        <v>111</v>
      </c>
      <c r="C119" s="137" t="s">
        <v>189</v>
      </c>
      <c r="D119" s="138"/>
      <c r="E119" s="139"/>
      <c r="F119" s="138"/>
      <c r="G119" s="138"/>
      <c r="H119" s="138"/>
      <c r="I119" s="138"/>
      <c r="J119" s="138"/>
      <c r="K119" s="138"/>
      <c r="L119" s="138"/>
      <c r="M119" s="138"/>
      <c r="N119" s="140">
        <f ca="1">1/O118</f>
        <v>0.42</v>
      </c>
      <c r="O119" s="141" t="s">
        <v>190</v>
      </c>
      <c r="P119" s="141"/>
      <c r="Q119" s="141"/>
      <c r="R119" s="141"/>
      <c r="S119" s="141"/>
      <c r="T119" s="142">
        <f ca="1">1/U118</f>
        <v>0.39473684210526316</v>
      </c>
      <c r="U119" s="141" t="s">
        <v>190</v>
      </c>
      <c r="V119" s="143">
        <f ca="1">+T119+N119</f>
        <v>0.8147368421052632</v>
      </c>
      <c r="W119" s="144" t="s">
        <v>190</v>
      </c>
      <c r="X119" s="145"/>
      <c r="Y119" s="146"/>
      <c r="Z119" s="147"/>
      <c r="AA119" s="148"/>
      <c r="AB119" s="138"/>
      <c r="AC119" s="138"/>
      <c r="AD119" s="138"/>
      <c r="AE119" s="138"/>
      <c r="AF119" s="149"/>
      <c r="AG119" s="135">
        <f>+AG118*365/((U115+O115)/2)</f>
        <v>0.14673378905180592</v>
      </c>
    </row>
    <row r="120" spans="1:34" ht="15.75" thickBot="1" x14ac:dyDescent="0.3">
      <c r="B120" s="150">
        <f>+B116+B117</f>
        <v>75</v>
      </c>
      <c r="C120" s="151" t="s">
        <v>191</v>
      </c>
      <c r="E120" s="152"/>
      <c r="V120" s="153">
        <f ca="1">+V119*V118</f>
        <v>40.107367096842118</v>
      </c>
      <c r="W120" s="144" t="s">
        <v>190</v>
      </c>
    </row>
    <row r="121" spans="1:34" ht="15.75" thickBot="1" x14ac:dyDescent="0.3">
      <c r="V121" s="154">
        <f ca="1">+V120*30</f>
        <v>1203.2210129052635</v>
      </c>
      <c r="W121" s="134" t="s">
        <v>192</v>
      </c>
    </row>
    <row r="122" spans="1:34" x14ac:dyDescent="0.25">
      <c r="R122" s="155" t="s">
        <v>193</v>
      </c>
      <c r="S122" s="156">
        <f ca="1">+U122/12</f>
        <v>2.3905056725579923E-2</v>
      </c>
      <c r="T122" s="157" t="s">
        <v>194</v>
      </c>
      <c r="U122" s="158">
        <f ca="1">+$V$121*12/V122</f>
        <v>0.28686068070695908</v>
      </c>
      <c r="V122" s="159">
        <f>+B116*D115</f>
        <v>50333.325986954922</v>
      </c>
      <c r="W122" s="113" t="s">
        <v>195</v>
      </c>
    </row>
    <row r="123" spans="1:34" ht="15.75" thickBot="1" x14ac:dyDescent="0.3">
      <c r="R123" s="160" t="s">
        <v>193</v>
      </c>
      <c r="S123" s="161">
        <f t="shared" ref="S123:S124" ca="1" si="112">+U123/12</f>
        <v>3.791836584057505E-2</v>
      </c>
      <c r="T123" s="162" t="s">
        <v>194</v>
      </c>
      <c r="U123" s="163">
        <f t="shared" ref="U123:U124" ca="1" si="113">+$V$121*12/V123</f>
        <v>0.45502039008690059</v>
      </c>
      <c r="V123" s="164">
        <f>+B117*D115</f>
        <v>31731.879426558538</v>
      </c>
      <c r="W123" s="123" t="s">
        <v>196</v>
      </c>
    </row>
    <row r="124" spans="1:34" ht="16.5" thickTop="1" thickBot="1" x14ac:dyDescent="0.3">
      <c r="C124" s="165" t="s">
        <v>197</v>
      </c>
      <c r="D124" s="166">
        <v>1.7500000000000002E-2</v>
      </c>
      <c r="F124" s="167" t="s">
        <v>198</v>
      </c>
      <c r="G124" s="90"/>
      <c r="H124" s="168">
        <f>+(1+D124)^D130</f>
        <v>1.5273925609390346</v>
      </c>
      <c r="I124" s="169">
        <f>+(1+D124)^D130+1</f>
        <v>2.5273925609390346</v>
      </c>
      <c r="M124" s="83" t="e">
        <f>ROUND(+D115/J115,0)</f>
        <v>#DIV/0!</v>
      </c>
      <c r="R124" s="170" t="s">
        <v>193</v>
      </c>
      <c r="S124" s="171">
        <f t="shared" ca="1" si="112"/>
        <v>1.466176812502235E-2</v>
      </c>
      <c r="T124" s="172" t="s">
        <v>194</v>
      </c>
      <c r="U124" s="173">
        <f t="shared" ca="1" si="113"/>
        <v>0.1759412175002682</v>
      </c>
      <c r="V124" s="174">
        <f>+V123+V122</f>
        <v>82065.205413513468</v>
      </c>
      <c r="W124" s="134" t="s">
        <v>199</v>
      </c>
    </row>
    <row r="125" spans="1:34" x14ac:dyDescent="0.25">
      <c r="C125" s="175" t="s">
        <v>200</v>
      </c>
      <c r="D125" s="176">
        <f>+(5.8+24.1)/2</f>
        <v>14.950000000000001</v>
      </c>
      <c r="F125" s="177" t="s">
        <v>201</v>
      </c>
      <c r="H125" s="66">
        <f>+D133*H124</f>
        <v>22834.51878603857</v>
      </c>
      <c r="I125" s="117"/>
    </row>
    <row r="126" spans="1:34" x14ac:dyDescent="0.25">
      <c r="C126" s="175" t="s">
        <v>202</v>
      </c>
      <c r="D126" s="178">
        <v>1000</v>
      </c>
      <c r="F126" s="177"/>
      <c r="I126" s="117"/>
    </row>
    <row r="127" spans="1:34" ht="15.75" thickBot="1" x14ac:dyDescent="0.3">
      <c r="C127" s="179" t="s">
        <v>203</v>
      </c>
      <c r="D127" s="180">
        <v>0.3</v>
      </c>
      <c r="F127" s="181">
        <v>2</v>
      </c>
      <c r="G127" s="182"/>
      <c r="H127" s="22">
        <f>+(1+D124)^(D130*F127)</f>
        <v>2.3329280352119022</v>
      </c>
      <c r="I127" s="183">
        <f>+(1+D124)^(D130*F127)+1</f>
        <v>3.3329280352119022</v>
      </c>
    </row>
    <row r="128" spans="1:34" ht="16.5" thickTop="1" thickBot="1" x14ac:dyDescent="0.3">
      <c r="F128" s="184" t="s">
        <v>201</v>
      </c>
      <c r="G128" s="138"/>
      <c r="H128" s="185">
        <f>+D133*H127</f>
        <v>34877.274126417942</v>
      </c>
      <c r="I128" s="149"/>
    </row>
    <row r="129" spans="2:4" ht="15.75" thickTop="1" x14ac:dyDescent="0.25">
      <c r="C129" s="165" t="s">
        <v>204</v>
      </c>
      <c r="D129" s="169">
        <f>365/D130</f>
        <v>14.950000000000001</v>
      </c>
    </row>
    <row r="130" spans="2:4" x14ac:dyDescent="0.25">
      <c r="C130" s="175" t="s">
        <v>205</v>
      </c>
      <c r="D130" s="183">
        <f>365/D125</f>
        <v>24.414715719063544</v>
      </c>
    </row>
    <row r="131" spans="2:4" x14ac:dyDescent="0.25">
      <c r="C131" s="175"/>
      <c r="D131" s="117"/>
    </row>
    <row r="132" spans="2:4" x14ac:dyDescent="0.25">
      <c r="C132" s="175" t="s">
        <v>206</v>
      </c>
      <c r="D132" s="186">
        <f>+D129*D126*(1+D127)</f>
        <v>19435.000000000004</v>
      </c>
    </row>
    <row r="133" spans="2:4" ht="15.75" thickBot="1" x14ac:dyDescent="0.3">
      <c r="C133" s="179" t="s">
        <v>207</v>
      </c>
      <c r="D133" s="187">
        <f>+D129*D126</f>
        <v>14950.000000000002</v>
      </c>
    </row>
    <row r="134" spans="2:4" ht="15.75" thickTop="1" x14ac:dyDescent="0.25"/>
    <row r="135" spans="2:4" x14ac:dyDescent="0.25">
      <c r="B135" t="s">
        <v>208</v>
      </c>
    </row>
    <row r="136" spans="2:4" x14ac:dyDescent="0.25">
      <c r="B136" t="s">
        <v>209</v>
      </c>
    </row>
    <row r="137" spans="2:4" x14ac:dyDescent="0.25">
      <c r="B137" t="s">
        <v>210</v>
      </c>
    </row>
  </sheetData>
  <mergeCells count="8">
    <mergeCell ref="AD1:AF1"/>
    <mergeCell ref="AG1:AH1"/>
    <mergeCell ref="A1:F1"/>
    <mergeCell ref="J1:M1"/>
    <mergeCell ref="O1:Q1"/>
    <mergeCell ref="R1:S1"/>
    <mergeCell ref="U1:W1"/>
    <mergeCell ref="X1:Z1"/>
  </mergeCells>
  <conditionalFormatting sqref="C3:C11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0:C6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2:C6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:C8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7:C11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1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7:E11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G3">
    <cfRule type="containsText" dxfId="5" priority="1" operator="containsText" text="Close">
      <formula>NOT(ISERROR(SEARCH("Close",F3)))</formula>
    </cfRule>
    <cfRule type="containsText" dxfId="4" priority="2" operator="containsText" text="Open">
      <formula>NOT(ISERROR(SEARCH("Open",F3)))</formula>
    </cfRule>
    <cfRule type="containsText" dxfId="3" priority="3" operator="containsText" text="Plan">
      <formula>NOT(ISERROR(SEARCH("Plan",F3)))</formula>
    </cfRule>
  </conditionalFormatting>
  <conditionalFormatting sqref="F4:G114">
    <cfRule type="containsText" dxfId="2" priority="21" operator="containsText" text="Close">
      <formula>NOT(ISERROR(SEARCH("Close",F4)))</formula>
    </cfRule>
    <cfRule type="containsText" dxfId="1" priority="22" operator="containsText" text="Open">
      <formula>NOT(ISERROR(SEARCH("Open",F4)))</formula>
    </cfRule>
    <cfRule type="containsText" dxfId="0" priority="23" operator="containsText" text="Plan">
      <formula>NOT(ISERROR(SEARCH("Plan",F4)))</formula>
    </cfRule>
  </conditionalFormatting>
  <conditionalFormatting sqref="G3:G1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1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6:H8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5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114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0:Z61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2:Z6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9:Z8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87:Z11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115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:AC114">
    <cfRule type="colorScale" priority="17">
      <colorScale>
        <cfvo type="min"/>
        <cfvo type="max"/>
        <color rgb="FFFFEF9C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11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7:AC11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21:AC12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114">
    <cfRule type="colorScale" priority="16">
      <colorScale>
        <cfvo type="min"/>
        <cfvo type="max"/>
        <color rgb="FFFFEF9C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11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:AE114">
    <cfRule type="colorScale" priority="15">
      <colorScale>
        <cfvo type="min"/>
        <cfvo type="max"/>
        <color rgb="FFFFEF9C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:AE11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1:AE122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2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:AF114">
    <cfRule type="colorScale" priority="14">
      <colorScale>
        <cfvo type="min"/>
        <cfvo type="max"/>
        <color rgb="FFFFEF9C"/>
        <color rgb="FF63BE7B"/>
      </colorScale>
    </cfRule>
  </conditionalFormatting>
  <conditionalFormatting sqref="AF3:AF115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:AH11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:AH115">
    <cfRule type="colorScale" priority="13">
      <colorScale>
        <cfvo type="min"/>
        <cfvo type="max"/>
        <color rgb="FFFFEF9C"/>
        <color rgb="FF63BE7B"/>
      </colorScale>
    </cfRule>
  </conditionalFormatting>
  <conditionalFormatting sqref="AH11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5:AM246">
    <cfRule type="colorScale" priority="71">
      <colorScale>
        <cfvo type="min"/>
        <cfvo type="max"/>
        <color rgb="FFFCFCFF"/>
        <color rgb="FF63BE7B"/>
      </colorScale>
    </cfRule>
  </conditionalFormatting>
  <conditionalFormatting sqref="AN165:AP246">
    <cfRule type="colorScale" priority="72">
      <colorScale>
        <cfvo type="min"/>
        <cfvo type="max"/>
        <color rgb="FFFCFCFF"/>
        <color rgb="FF63BE7B"/>
      </colorScale>
    </cfRule>
  </conditionalFormatting>
  <conditionalFormatting sqref="AO165:AO246">
    <cfRule type="colorScale" priority="73">
      <colorScale>
        <cfvo type="min"/>
        <cfvo type="max"/>
        <color rgb="FFFCFCFF"/>
        <color rgb="FF63BE7B"/>
      </colorScale>
    </cfRule>
  </conditionalFormatting>
  <conditionalFormatting sqref="AP165:AP246">
    <cfRule type="colorScale" priority="74">
      <colorScale>
        <cfvo type="min"/>
        <cfvo type="max"/>
        <color rgb="FFFCFCFF"/>
        <color rgb="FF63BE7B"/>
      </colorScale>
    </cfRule>
  </conditionalFormatting>
  <conditionalFormatting sqref="AQ165:AQ246">
    <cfRule type="colorScale" priority="75">
      <colorScale>
        <cfvo type="min"/>
        <cfvo type="max"/>
        <color rgb="FFFFEF9C"/>
        <color rgb="FF63BE7B"/>
      </colorScale>
    </cfRule>
    <cfRule type="colorScale" priority="7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ED80-8CD5-4F5F-ADC5-5CD07B7516F9}">
  <sheetPr>
    <tabColor rgb="FF92D050"/>
  </sheetPr>
  <dimension ref="A1:CF101"/>
  <sheetViews>
    <sheetView workbookViewId="0">
      <pane xSplit="1" ySplit="2" topLeftCell="B40" activePane="bottomRight" state="frozen"/>
      <selection activeCell="B117" sqref="B117:C117"/>
      <selection pane="topRight" activeCell="B117" sqref="B117:C117"/>
      <selection pane="bottomLeft" activeCell="B117" sqref="B117:C117"/>
      <selection pane="bottomRight" activeCell="B117" sqref="B117:C117"/>
    </sheetView>
  </sheetViews>
  <sheetFormatPr baseColWidth="10" defaultRowHeight="15" x14ac:dyDescent="0.25"/>
  <cols>
    <col min="1" max="1" width="13.85546875" customWidth="1"/>
    <col min="2" max="2" width="14.5703125" bestFit="1" customWidth="1"/>
    <col min="3" max="3" width="13" bestFit="1" customWidth="1"/>
    <col min="4" max="4" width="14.5703125" bestFit="1" customWidth="1"/>
    <col min="5" max="7" width="13" bestFit="1" customWidth="1"/>
    <col min="8" max="8" width="10.7109375" bestFit="1" customWidth="1"/>
    <col min="9" max="9" width="10.42578125" bestFit="1" customWidth="1"/>
    <col min="10" max="10" width="11.42578125" bestFit="1" customWidth="1"/>
    <col min="11" max="11" width="13.140625" bestFit="1" customWidth="1"/>
    <col min="12" max="12" width="14.5703125" bestFit="1" customWidth="1"/>
    <col min="13" max="16" width="13" bestFit="1" customWidth="1"/>
    <col min="17" max="17" width="14" bestFit="1" customWidth="1"/>
    <col min="18" max="18" width="10.85546875" bestFit="1" customWidth="1"/>
    <col min="19" max="19" width="9.85546875" bestFit="1" customWidth="1"/>
    <col min="20" max="20" width="10.85546875" bestFit="1" customWidth="1"/>
    <col min="21" max="21" width="14.5703125" bestFit="1" customWidth="1"/>
    <col min="22" max="25" width="13" bestFit="1" customWidth="1"/>
    <col min="26" max="26" width="14.5703125" bestFit="1" customWidth="1"/>
    <col min="27" max="27" width="13" bestFit="1" customWidth="1"/>
    <col min="28" max="29" width="14.5703125" bestFit="1" customWidth="1"/>
    <col min="30" max="31" width="13" bestFit="1" customWidth="1"/>
    <col min="32" max="32" width="14.5703125" bestFit="1" customWidth="1"/>
    <col min="33" max="33" width="13" bestFit="1" customWidth="1"/>
    <col min="34" max="34" width="14.5703125" bestFit="1" customWidth="1"/>
    <col min="35" max="35" width="12" bestFit="1" customWidth="1"/>
    <col min="36" max="36" width="14.140625" bestFit="1" customWidth="1"/>
    <col min="37" max="38" width="13" bestFit="1" customWidth="1"/>
    <col min="39" max="39" width="12" bestFit="1" customWidth="1"/>
    <col min="40" max="40" width="13" bestFit="1" customWidth="1"/>
    <col min="41" max="41" width="14.5703125" bestFit="1" customWidth="1"/>
    <col min="42" max="43" width="12.28515625" bestFit="1" customWidth="1"/>
    <col min="44" max="44" width="14.5703125" bestFit="1" customWidth="1"/>
    <col min="45" max="46" width="12" bestFit="1" customWidth="1"/>
    <col min="47" max="47" width="14.5703125" bestFit="1" customWidth="1"/>
    <col min="48" max="49" width="13" bestFit="1" customWidth="1"/>
    <col min="50" max="50" width="14.5703125" bestFit="1" customWidth="1"/>
    <col min="51" max="51" width="13" bestFit="1" customWidth="1"/>
    <col min="52" max="54" width="14.5703125" bestFit="1" customWidth="1"/>
    <col min="55" max="55" width="13" bestFit="1" customWidth="1"/>
    <col min="56" max="56" width="14.5703125" bestFit="1" customWidth="1"/>
    <col min="57" max="57" width="13" bestFit="1" customWidth="1"/>
    <col min="58" max="58" width="10.7109375" bestFit="1" customWidth="1"/>
    <col min="59" max="60" width="14.5703125" bestFit="1" customWidth="1"/>
    <col min="61" max="63" width="13" bestFit="1" customWidth="1"/>
    <col min="64" max="64" width="13.140625" bestFit="1" customWidth="1"/>
    <col min="65" max="66" width="14.5703125" bestFit="1" customWidth="1"/>
    <col min="67" max="68" width="12" bestFit="1" customWidth="1"/>
    <col min="69" max="69" width="14.5703125" bestFit="1" customWidth="1"/>
    <col min="70" max="70" width="12" bestFit="1" customWidth="1"/>
    <col min="71" max="71" width="13" bestFit="1" customWidth="1"/>
    <col min="72" max="72" width="14.5703125" bestFit="1" customWidth="1"/>
    <col min="73" max="73" width="13.140625" bestFit="1" customWidth="1"/>
    <col min="74" max="75" width="12" bestFit="1" customWidth="1"/>
    <col min="76" max="76" width="14" bestFit="1" customWidth="1"/>
    <col min="77" max="77" width="13" bestFit="1" customWidth="1"/>
    <col min="78" max="79" width="12" bestFit="1" customWidth="1"/>
    <col min="80" max="80" width="13" bestFit="1" customWidth="1"/>
    <col min="81" max="82" width="14.5703125" bestFit="1" customWidth="1"/>
    <col min="83" max="83" width="4" bestFit="1" customWidth="1"/>
  </cols>
  <sheetData>
    <row r="1" spans="1:27" ht="15.75" thickBot="1" x14ac:dyDescent="0.3">
      <c r="A1" s="188">
        <v>1</v>
      </c>
      <c r="B1" s="188">
        <v>2</v>
      </c>
      <c r="C1" s="188">
        <v>3</v>
      </c>
      <c r="D1" s="188">
        <v>4</v>
      </c>
      <c r="E1" s="188">
        <v>5</v>
      </c>
      <c r="F1" s="188">
        <v>6</v>
      </c>
      <c r="G1" s="188">
        <v>7</v>
      </c>
      <c r="H1" s="188"/>
      <c r="I1" s="188"/>
      <c r="K1" s="188">
        <v>1</v>
      </c>
      <c r="L1" s="188">
        <v>2</v>
      </c>
      <c r="M1" s="188">
        <v>3</v>
      </c>
      <c r="N1" s="188">
        <v>4</v>
      </c>
      <c r="O1" s="188">
        <v>5</v>
      </c>
      <c r="P1" s="188">
        <v>6</v>
      </c>
      <c r="Q1" s="188">
        <v>7</v>
      </c>
      <c r="V1" s="189" t="s">
        <v>211</v>
      </c>
      <c r="W1" s="189"/>
      <c r="X1" s="189"/>
      <c r="Y1" s="189"/>
      <c r="Z1" s="189"/>
    </row>
    <row r="2" spans="1:27" ht="15.75" thickBot="1" x14ac:dyDescent="0.3">
      <c r="A2" s="155"/>
      <c r="B2" s="190">
        <v>46034</v>
      </c>
      <c r="C2" s="190">
        <v>46035</v>
      </c>
      <c r="D2" s="190">
        <v>46036</v>
      </c>
      <c r="E2" s="190">
        <v>46037</v>
      </c>
      <c r="F2" s="190">
        <v>46038</v>
      </c>
      <c r="G2" s="190">
        <v>46039</v>
      </c>
      <c r="H2" s="189"/>
      <c r="I2" s="191" t="s">
        <v>212</v>
      </c>
      <c r="J2" s="188" t="s">
        <v>213</v>
      </c>
      <c r="K2" s="155"/>
      <c r="L2" s="190" t="s">
        <v>211</v>
      </c>
      <c r="M2" s="190"/>
      <c r="N2" s="190"/>
      <c r="O2" s="190"/>
      <c r="P2" s="190"/>
      <c r="Q2" s="113"/>
      <c r="S2" s="191" t="s">
        <v>212</v>
      </c>
      <c r="T2" s="188" t="s">
        <v>213</v>
      </c>
      <c r="U2" s="192">
        <v>1</v>
      </c>
      <c r="V2" s="193">
        <v>2</v>
      </c>
      <c r="W2" s="193">
        <v>3</v>
      </c>
      <c r="X2" s="193">
        <v>4</v>
      </c>
      <c r="Y2" s="193">
        <v>5</v>
      </c>
      <c r="Z2" s="193">
        <v>6</v>
      </c>
      <c r="AA2" s="194">
        <v>7</v>
      </c>
    </row>
    <row r="3" spans="1:27" ht="15.75" thickBot="1" x14ac:dyDescent="0.3">
      <c r="A3" s="195" t="s">
        <v>50</v>
      </c>
      <c r="B3" s="196">
        <v>1894.5</v>
      </c>
      <c r="C3" s="196">
        <v>1891</v>
      </c>
      <c r="D3" s="196">
        <v>1904</v>
      </c>
      <c r="E3" s="196">
        <v>1901.5</v>
      </c>
      <c r="F3" s="196">
        <v>1918</v>
      </c>
      <c r="G3" s="196">
        <v>1906.5</v>
      </c>
      <c r="H3" s="196"/>
      <c r="I3" s="7">
        <f>MAX(M3:Q3)</f>
        <v>8.6773599789640166E-3</v>
      </c>
      <c r="J3" s="7">
        <f>MIN(M3:Q3)</f>
        <v>-5.9958289885296834E-3</v>
      </c>
      <c r="K3" s="195" t="s">
        <v>50</v>
      </c>
      <c r="L3" s="197">
        <f t="shared" ref="L3:L66" si="0">AVERAGE(M3:Q3)</f>
        <v>1.279144422705536E-3</v>
      </c>
      <c r="M3" s="198">
        <f t="shared" ref="M3:Q34" si="1">+C3/B3-1</f>
        <v>-1.847453153866474E-3</v>
      </c>
      <c r="N3" s="198">
        <f t="shared" si="1"/>
        <v>6.8746694870438496E-3</v>
      </c>
      <c r="O3" s="198">
        <f t="shared" si="1"/>
        <v>-1.3130252100840289E-3</v>
      </c>
      <c r="P3" s="198">
        <f t="shared" si="1"/>
        <v>8.6773599789640166E-3</v>
      </c>
      <c r="Q3" s="198">
        <f t="shared" si="1"/>
        <v>-5.9958289885296834E-3</v>
      </c>
      <c r="S3" s="7">
        <v>6.0642092746730158E-2</v>
      </c>
      <c r="T3" s="7">
        <v>-9.8792535675081838E-3</v>
      </c>
      <c r="U3" s="195" t="s">
        <v>44</v>
      </c>
      <c r="V3" s="197">
        <v>1.7324514068646567E-2</v>
      </c>
      <c r="W3" s="198">
        <v>6.0642092746730158E-2</v>
      </c>
      <c r="X3" s="198">
        <v>2.6905829596412412E-2</v>
      </c>
      <c r="Y3" s="198">
        <v>-5.4585152838427797E-3</v>
      </c>
      <c r="Z3" s="198">
        <v>-9.8792535675081838E-3</v>
      </c>
      <c r="AA3" s="198">
        <v>1.4412416851441234E-2</v>
      </c>
    </row>
    <row r="4" spans="1:27" ht="15.75" thickBot="1" x14ac:dyDescent="0.3">
      <c r="A4" s="199" t="s">
        <v>23</v>
      </c>
      <c r="B4" s="196">
        <v>56.92</v>
      </c>
      <c r="C4" s="196">
        <v>56.94</v>
      </c>
      <c r="D4" s="196">
        <v>57.37</v>
      </c>
      <c r="E4" s="196">
        <v>59.54</v>
      </c>
      <c r="F4" s="196">
        <v>59.38</v>
      </c>
      <c r="G4" s="196">
        <v>59.14</v>
      </c>
      <c r="H4" s="196"/>
      <c r="I4" s="7">
        <f t="shared" ref="I4:I67" si="2">MAX(M4:Q4)</f>
        <v>3.7824647028063429E-2</v>
      </c>
      <c r="J4" s="7">
        <f t="shared" ref="J4:J67" si="3">MIN(M4:Q4)</f>
        <v>-4.0417649040080939E-3</v>
      </c>
      <c r="K4" s="199" t="s">
        <v>23</v>
      </c>
      <c r="L4" s="197">
        <f t="shared" si="0"/>
        <v>7.7997584654510678E-3</v>
      </c>
      <c r="M4" s="7">
        <f t="shared" si="1"/>
        <v>3.5137034434296055E-4</v>
      </c>
      <c r="N4" s="7">
        <f t="shared" si="1"/>
        <v>7.5518089216719542E-3</v>
      </c>
      <c r="O4" s="7">
        <f t="shared" si="1"/>
        <v>3.7824647028063429E-2</v>
      </c>
      <c r="P4" s="7">
        <f t="shared" si="1"/>
        <v>-2.6872690628149121E-3</v>
      </c>
      <c r="Q4" s="7">
        <f t="shared" si="1"/>
        <v>-4.0417649040080939E-3</v>
      </c>
      <c r="S4" s="7">
        <v>3.3672316384180778E-2</v>
      </c>
      <c r="T4" s="7">
        <v>8.3535954163558301E-3</v>
      </c>
      <c r="U4" s="200" t="s">
        <v>56</v>
      </c>
      <c r="V4" s="197">
        <v>1.6767638003747011E-2</v>
      </c>
      <c r="W4" s="7">
        <v>1.5943877551020336E-2</v>
      </c>
      <c r="X4" s="7">
        <v>3.3672316384180778E-2</v>
      </c>
      <c r="Y4" s="7">
        <v>9.0608754797647517E-3</v>
      </c>
      <c r="Z4" s="7">
        <v>8.3535954163558301E-3</v>
      </c>
      <c r="AA4" s="7">
        <v>1.6807525187413352E-2</v>
      </c>
    </row>
    <row r="5" spans="1:27" ht="15.75" thickBot="1" x14ac:dyDescent="0.3">
      <c r="A5" s="201" t="s">
        <v>39</v>
      </c>
      <c r="B5" s="196">
        <v>13.2</v>
      </c>
      <c r="C5" s="196">
        <v>13.07</v>
      </c>
      <c r="D5" s="196">
        <v>13.34</v>
      </c>
      <c r="E5" s="196">
        <v>13.26</v>
      </c>
      <c r="F5" s="196">
        <v>13.47</v>
      </c>
      <c r="G5" s="196">
        <v>13.25</v>
      </c>
      <c r="H5" s="196"/>
      <c r="I5" s="7">
        <f t="shared" si="2"/>
        <v>2.0657995409334218E-2</v>
      </c>
      <c r="J5" s="7">
        <f t="shared" si="3"/>
        <v>-1.6332590942836012E-2</v>
      </c>
      <c r="K5" s="201" t="s">
        <v>39</v>
      </c>
      <c r="L5" s="197">
        <f t="shared" si="0"/>
        <v>8.6340443823227362E-4</v>
      </c>
      <c r="M5" s="7">
        <f t="shared" si="1"/>
        <v>-9.8484848484847731E-3</v>
      </c>
      <c r="N5" s="7">
        <f t="shared" si="1"/>
        <v>2.0657995409334218E-2</v>
      </c>
      <c r="O5" s="7">
        <f t="shared" si="1"/>
        <v>-5.9970014992504206E-3</v>
      </c>
      <c r="P5" s="7">
        <f t="shared" si="1"/>
        <v>1.5837104072398356E-2</v>
      </c>
      <c r="Q5" s="7">
        <f t="shared" si="1"/>
        <v>-1.6332590942836012E-2</v>
      </c>
      <c r="S5" s="7">
        <v>2.5792584631918469E-2</v>
      </c>
      <c r="T5" s="7">
        <v>7.8561663984495489E-3</v>
      </c>
      <c r="U5" s="201" t="s">
        <v>55</v>
      </c>
      <c r="V5" s="197">
        <v>1.4697369960815321E-2</v>
      </c>
      <c r="W5" s="7">
        <v>1.7968273900758946E-2</v>
      </c>
      <c r="X5" s="7">
        <v>1.2807488571221048E-2</v>
      </c>
      <c r="Y5" s="7">
        <v>2.5792584631918469E-2</v>
      </c>
      <c r="Z5" s="7">
        <v>9.0623363017285907E-3</v>
      </c>
      <c r="AA5" s="7">
        <v>7.8561663984495489E-3</v>
      </c>
    </row>
    <row r="6" spans="1:27" ht="15.75" thickBot="1" x14ac:dyDescent="0.3">
      <c r="A6" s="201" t="s">
        <v>24</v>
      </c>
      <c r="B6" s="196">
        <v>216.45</v>
      </c>
      <c r="C6" s="196">
        <v>217.65</v>
      </c>
      <c r="D6" s="196">
        <v>220.05</v>
      </c>
      <c r="E6" s="196">
        <v>213.55</v>
      </c>
      <c r="F6" s="196">
        <v>214.55</v>
      </c>
      <c r="G6" s="196">
        <v>216.8</v>
      </c>
      <c r="H6" s="196"/>
      <c r="I6" s="7">
        <f t="shared" si="2"/>
        <v>1.1026878015161889E-2</v>
      </c>
      <c r="J6" s="7">
        <f t="shared" si="3"/>
        <v>-2.953874119518296E-2</v>
      </c>
      <c r="K6" s="201" t="s">
        <v>24</v>
      </c>
      <c r="L6" s="197">
        <f t="shared" si="0"/>
        <v>4.4039048080251052E-4</v>
      </c>
      <c r="M6" s="7">
        <f t="shared" si="1"/>
        <v>5.5440055440056923E-3</v>
      </c>
      <c r="N6" s="7">
        <f t="shared" si="1"/>
        <v>1.1026878015161889E-2</v>
      </c>
      <c r="O6" s="7">
        <f t="shared" si="1"/>
        <v>-2.953874119518296E-2</v>
      </c>
      <c r="P6" s="7">
        <f t="shared" si="1"/>
        <v>4.6827440880354843E-3</v>
      </c>
      <c r="Q6" s="7">
        <f t="shared" si="1"/>
        <v>1.0487065951992447E-2</v>
      </c>
      <c r="S6" s="7">
        <v>4.6102097348634796E-2</v>
      </c>
      <c r="T6" s="7">
        <v>-6.2417249858142121E-3</v>
      </c>
      <c r="U6" s="201" t="s">
        <v>54</v>
      </c>
      <c r="V6" s="197">
        <v>1.4464959666863097E-2</v>
      </c>
      <c r="W6" s="7">
        <v>3.2683076294557356E-3</v>
      </c>
      <c r="X6" s="7">
        <v>-5.2936984627914851E-3</v>
      </c>
      <c r="Y6" s="7">
        <v>3.4489816804830653E-2</v>
      </c>
      <c r="Z6" s="7">
        <v>4.6102097348634796E-2</v>
      </c>
      <c r="AA6" s="7">
        <v>-6.2417249858142121E-3</v>
      </c>
    </row>
    <row r="7" spans="1:27" ht="15.75" thickBot="1" x14ac:dyDescent="0.3">
      <c r="A7" s="201" t="s">
        <v>54</v>
      </c>
      <c r="B7" s="196">
        <v>97.91</v>
      </c>
      <c r="C7" s="196">
        <v>98.23</v>
      </c>
      <c r="D7" s="196">
        <v>97.71</v>
      </c>
      <c r="E7" s="196">
        <v>101.08</v>
      </c>
      <c r="F7" s="196">
        <v>105.74</v>
      </c>
      <c r="G7" s="196">
        <v>105.08</v>
      </c>
      <c r="H7" s="196"/>
      <c r="I7" s="7">
        <f t="shared" si="2"/>
        <v>4.6102097348634796E-2</v>
      </c>
      <c r="J7" s="7">
        <f t="shared" si="3"/>
        <v>-6.2417249858142121E-3</v>
      </c>
      <c r="K7" s="201" t="s">
        <v>54</v>
      </c>
      <c r="L7" s="197">
        <f t="shared" si="0"/>
        <v>1.4464959666863097E-2</v>
      </c>
      <c r="M7" s="7">
        <f t="shared" si="1"/>
        <v>3.2683076294557356E-3</v>
      </c>
      <c r="N7" s="7">
        <f t="shared" si="1"/>
        <v>-5.2936984627914851E-3</v>
      </c>
      <c r="O7" s="7">
        <f t="shared" si="1"/>
        <v>3.4489816804830653E-2</v>
      </c>
      <c r="P7" s="7">
        <f t="shared" si="1"/>
        <v>4.6102097348634796E-2</v>
      </c>
      <c r="Q7" s="7">
        <f t="shared" si="1"/>
        <v>-6.2417249858142121E-3</v>
      </c>
      <c r="S7" s="7">
        <v>4.4188649080735498E-2</v>
      </c>
      <c r="T7" s="7">
        <v>-6.0700438568614956E-3</v>
      </c>
      <c r="U7" s="201" t="s">
        <v>43</v>
      </c>
      <c r="V7" s="197">
        <v>1.158118200038798E-2</v>
      </c>
      <c r="W7" s="7">
        <v>-1.2378987462307034E-3</v>
      </c>
      <c r="X7" s="7">
        <v>-6.0700438568614956E-3</v>
      </c>
      <c r="Y7" s="7">
        <v>4.4188649080735498E-2</v>
      </c>
      <c r="Z7" s="7">
        <v>2.2506660134122836E-3</v>
      </c>
      <c r="AA7" s="7">
        <v>1.8774537510884315E-2</v>
      </c>
    </row>
    <row r="8" spans="1:27" ht="15.75" thickBot="1" x14ac:dyDescent="0.3">
      <c r="A8" s="199" t="s">
        <v>15</v>
      </c>
      <c r="B8" s="196">
        <v>80.83</v>
      </c>
      <c r="C8" s="196">
        <v>80.86</v>
      </c>
      <c r="D8" s="196">
        <v>78.989999999999995</v>
      </c>
      <c r="E8" s="196">
        <v>80.11</v>
      </c>
      <c r="F8" s="196">
        <v>79.67</v>
      </c>
      <c r="G8" s="196">
        <v>79</v>
      </c>
      <c r="H8" s="196"/>
      <c r="I8" s="7">
        <f t="shared" si="2"/>
        <v>1.4179010001265979E-2</v>
      </c>
      <c r="J8" s="7">
        <f t="shared" si="3"/>
        <v>-2.3126391293593951E-2</v>
      </c>
      <c r="K8" s="199" t="s">
        <v>15</v>
      </c>
      <c r="L8" s="197">
        <f t="shared" si="0"/>
        <v>-4.4956739643745355E-3</v>
      </c>
      <c r="M8" s="7">
        <f t="shared" si="1"/>
        <v>3.7114932574544568E-4</v>
      </c>
      <c r="N8" s="7">
        <f t="shared" si="1"/>
        <v>-2.3126391293593951E-2</v>
      </c>
      <c r="O8" s="7">
        <f t="shared" si="1"/>
        <v>1.4179010001265979E-2</v>
      </c>
      <c r="P8" s="7">
        <f t="shared" si="1"/>
        <v>-5.4924478841592572E-3</v>
      </c>
      <c r="Q8" s="7">
        <f t="shared" si="1"/>
        <v>-8.4096899711308959E-3</v>
      </c>
      <c r="S8" s="7">
        <v>2.4525968672712173E-2</v>
      </c>
      <c r="T8" s="7">
        <v>1.1864843951510107E-3</v>
      </c>
      <c r="U8" s="199" t="s">
        <v>30</v>
      </c>
      <c r="V8" s="197">
        <v>1.1341946888905774E-2</v>
      </c>
      <c r="W8" s="7">
        <v>1.5559513830678995E-2</v>
      </c>
      <c r="X8" s="7">
        <v>1.1864843951510107E-3</v>
      </c>
      <c r="Y8" s="7">
        <v>2.4525968672712173E-2</v>
      </c>
      <c r="Z8" s="7">
        <v>4.9788774894388155E-3</v>
      </c>
      <c r="AA8" s="7">
        <v>1.0458890056547876E-2</v>
      </c>
    </row>
    <row r="9" spans="1:27" ht="15.75" thickBot="1" x14ac:dyDescent="0.3">
      <c r="A9" s="201" t="s">
        <v>18</v>
      </c>
      <c r="B9" s="196">
        <v>12.76</v>
      </c>
      <c r="C9" s="196">
        <v>13.12</v>
      </c>
      <c r="D9" s="196">
        <v>13.08</v>
      </c>
      <c r="E9" s="196">
        <v>13.14</v>
      </c>
      <c r="F9" s="196">
        <v>13.18</v>
      </c>
      <c r="G9" s="196">
        <v>13.22</v>
      </c>
      <c r="H9" s="196"/>
      <c r="I9" s="7">
        <f t="shared" si="2"/>
        <v>2.8213166144200663E-2</v>
      </c>
      <c r="J9" s="7">
        <f t="shared" si="3"/>
        <v>-3.0487804878047697E-3</v>
      </c>
      <c r="K9" s="201" t="s">
        <v>18</v>
      </c>
      <c r="L9" s="197">
        <f t="shared" si="0"/>
        <v>7.1661166031691259E-3</v>
      </c>
      <c r="M9" s="7">
        <f t="shared" si="1"/>
        <v>2.8213166144200663E-2</v>
      </c>
      <c r="N9" s="7">
        <f t="shared" si="1"/>
        <v>-3.0487804878047697E-3</v>
      </c>
      <c r="O9" s="7">
        <f t="shared" si="1"/>
        <v>4.5871559633028358E-3</v>
      </c>
      <c r="P9" s="7">
        <f t="shared" si="1"/>
        <v>3.0441400304412891E-3</v>
      </c>
      <c r="Q9" s="7">
        <f t="shared" si="1"/>
        <v>3.0349013657056112E-3</v>
      </c>
      <c r="S9" s="7">
        <v>2.0323690819458617E-2</v>
      </c>
      <c r="T9" s="7">
        <v>3.5600885211199973E-3</v>
      </c>
      <c r="U9" s="201" t="s">
        <v>35</v>
      </c>
      <c r="V9" s="197">
        <v>1.0871371314664247E-2</v>
      </c>
      <c r="W9" s="7">
        <v>3.5600885211199973E-3</v>
      </c>
      <c r="X9" s="7">
        <v>8.0536912751678624E-3</v>
      </c>
      <c r="Y9" s="7">
        <v>1.3125356667300636E-2</v>
      </c>
      <c r="Z9" s="7">
        <v>9.2940292902741195E-3</v>
      </c>
      <c r="AA9" s="7">
        <v>2.0323690819458617E-2</v>
      </c>
    </row>
    <row r="10" spans="1:27" ht="15.75" thickBot="1" x14ac:dyDescent="0.3">
      <c r="A10" s="201" t="s">
        <v>27</v>
      </c>
      <c r="B10" s="196">
        <v>0.19</v>
      </c>
      <c r="C10" s="196">
        <v>0.19</v>
      </c>
      <c r="D10" s="196">
        <v>0.19</v>
      </c>
      <c r="E10" s="196">
        <v>0.19</v>
      </c>
      <c r="F10" s="196">
        <v>0.18</v>
      </c>
      <c r="G10" s="196">
        <v>0.18</v>
      </c>
      <c r="H10" s="196"/>
      <c r="I10" s="7">
        <f t="shared" si="2"/>
        <v>0</v>
      </c>
      <c r="J10" s="7">
        <f t="shared" si="3"/>
        <v>-5.2631578947368474E-2</v>
      </c>
      <c r="K10" s="201" t="s">
        <v>27</v>
      </c>
      <c r="L10" s="197">
        <f t="shared" si="0"/>
        <v>-1.0526315789473694E-2</v>
      </c>
      <c r="M10" s="7">
        <f t="shared" si="1"/>
        <v>0</v>
      </c>
      <c r="N10" s="7">
        <f t="shared" si="1"/>
        <v>0</v>
      </c>
      <c r="O10" s="7">
        <f t="shared" si="1"/>
        <v>0</v>
      </c>
      <c r="P10" s="7">
        <f t="shared" si="1"/>
        <v>-5.2631578947368474E-2</v>
      </c>
      <c r="Q10" s="7">
        <f t="shared" si="1"/>
        <v>0</v>
      </c>
      <c r="S10" s="7">
        <v>5.3941908713692976E-2</v>
      </c>
      <c r="T10" s="7">
        <v>-2.0382165605095426E-2</v>
      </c>
      <c r="U10" s="199" t="s">
        <v>53</v>
      </c>
      <c r="V10" s="197">
        <v>1.0826363565578956E-2</v>
      </c>
      <c r="W10" s="7">
        <v>-4.109589041095818E-3</v>
      </c>
      <c r="X10" s="7">
        <v>-5.5020632737277086E-3</v>
      </c>
      <c r="Y10" s="7">
        <v>5.3941908713692976E-2</v>
      </c>
      <c r="Z10" s="7">
        <v>3.0183727034120755E-2</v>
      </c>
      <c r="AA10" s="7">
        <v>-2.0382165605095426E-2</v>
      </c>
    </row>
    <row r="11" spans="1:27" ht="15.75" thickBot="1" x14ac:dyDescent="0.3">
      <c r="A11" s="201" t="s">
        <v>79</v>
      </c>
      <c r="B11" s="196">
        <v>64.260000000000005</v>
      </c>
      <c r="C11" s="196">
        <v>63.46</v>
      </c>
      <c r="D11" s="196">
        <v>63.2</v>
      </c>
      <c r="E11" s="196">
        <v>61.36</v>
      </c>
      <c r="F11" s="196">
        <v>61.44</v>
      </c>
      <c r="G11" s="196">
        <v>60.8</v>
      </c>
      <c r="H11" s="196"/>
      <c r="I11" s="7">
        <f t="shared" si="2"/>
        <v>1.3037809647979959E-3</v>
      </c>
      <c r="J11" s="7">
        <f t="shared" si="3"/>
        <v>-2.9113924050632956E-2</v>
      </c>
      <c r="K11" s="201" t="s">
        <v>79</v>
      </c>
      <c r="L11" s="197">
        <f t="shared" si="0"/>
        <v>-1.095466059729735E-2</v>
      </c>
      <c r="M11" s="7">
        <f t="shared" si="1"/>
        <v>-1.24494242141302E-2</v>
      </c>
      <c r="N11" s="7">
        <f t="shared" si="1"/>
        <v>-4.0970690198549597E-3</v>
      </c>
      <c r="O11" s="7">
        <f t="shared" si="1"/>
        <v>-2.9113924050632956E-2</v>
      </c>
      <c r="P11" s="7">
        <f t="shared" si="1"/>
        <v>1.3037809647979959E-3</v>
      </c>
      <c r="Q11" s="7">
        <f t="shared" si="1"/>
        <v>-1.041666666666663E-2</v>
      </c>
      <c r="S11" s="7">
        <v>3.085827385593487E-2</v>
      </c>
      <c r="T11" s="7">
        <v>-3.730669715386048E-3</v>
      </c>
      <c r="U11" s="201" t="s">
        <v>34</v>
      </c>
      <c r="V11" s="197">
        <v>9.9568363023864841E-3</v>
      </c>
      <c r="W11" s="7">
        <v>5.6839017235057465E-3</v>
      </c>
      <c r="X11" s="7">
        <v>9.9665755089637376E-3</v>
      </c>
      <c r="Y11" s="7">
        <v>-3.730669715386048E-3</v>
      </c>
      <c r="Z11" s="7">
        <v>7.0061001389141175E-3</v>
      </c>
      <c r="AA11" s="7">
        <v>3.085827385593487E-2</v>
      </c>
    </row>
    <row r="12" spans="1:27" ht="15.75" thickBot="1" x14ac:dyDescent="0.3">
      <c r="A12" s="199" t="s">
        <v>25</v>
      </c>
      <c r="B12" s="196">
        <v>247.6</v>
      </c>
      <c r="C12" s="196">
        <v>246.47</v>
      </c>
      <c r="D12" s="196">
        <v>242.6</v>
      </c>
      <c r="E12" s="196">
        <v>236.65</v>
      </c>
      <c r="F12" s="196">
        <v>238.18</v>
      </c>
      <c r="G12" s="196">
        <v>239.12</v>
      </c>
      <c r="H12" s="196"/>
      <c r="I12" s="7">
        <f t="shared" si="2"/>
        <v>6.4652440312698012E-3</v>
      </c>
      <c r="J12" s="7">
        <f t="shared" si="3"/>
        <v>-2.4525968672712284E-2</v>
      </c>
      <c r="K12" s="199" t="s">
        <v>25</v>
      </c>
      <c r="L12" s="197">
        <f t="shared" si="0"/>
        <v>-6.8759300697742278E-3</v>
      </c>
      <c r="M12" s="7">
        <f t="shared" si="1"/>
        <v>-4.5638126009692748E-3</v>
      </c>
      <c r="N12" s="7">
        <f t="shared" si="1"/>
        <v>-1.5701708118635138E-2</v>
      </c>
      <c r="O12" s="7">
        <f t="shared" si="1"/>
        <v>-2.4525968672712284E-2</v>
      </c>
      <c r="P12" s="7">
        <f t="shared" si="1"/>
        <v>6.4652440312698012E-3</v>
      </c>
      <c r="Q12" s="7">
        <f t="shared" si="1"/>
        <v>3.9465950121757576E-3</v>
      </c>
      <c r="S12" s="7">
        <v>3.069236259814434E-2</v>
      </c>
      <c r="T12" s="7">
        <v>-1.0845986984815648E-2</v>
      </c>
      <c r="U12" s="201" t="s">
        <v>42</v>
      </c>
      <c r="V12" s="197">
        <v>8.7559970618566133E-3</v>
      </c>
      <c r="W12" s="7">
        <v>-1.0845986984815648E-2</v>
      </c>
      <c r="X12" s="7">
        <v>9.5029239766080131E-3</v>
      </c>
      <c r="Y12" s="7">
        <v>6.5170166545982511E-3</v>
      </c>
      <c r="Z12" s="7">
        <v>7.9136690647481078E-3</v>
      </c>
      <c r="AA12" s="7">
        <v>3.069236259814434E-2</v>
      </c>
    </row>
    <row r="13" spans="1:27" ht="15.75" thickBot="1" x14ac:dyDescent="0.3">
      <c r="A13" s="199" t="s">
        <v>51</v>
      </c>
      <c r="B13" s="196">
        <v>1266.8800000000001</v>
      </c>
      <c r="C13" s="196">
        <v>1093.8</v>
      </c>
      <c r="D13" s="196">
        <v>1102.5999999999999</v>
      </c>
      <c r="E13" s="196">
        <v>1130.4000000000001</v>
      </c>
      <c r="F13" s="196">
        <v>1149.4000000000001</v>
      </c>
      <c r="G13" s="196">
        <v>1167.2</v>
      </c>
      <c r="H13" s="196"/>
      <c r="I13" s="7">
        <f t="shared" si="2"/>
        <v>2.521313259568303E-2</v>
      </c>
      <c r="J13" s="7">
        <f t="shared" si="3"/>
        <v>-0.13661909573124542</v>
      </c>
      <c r="K13" s="199" t="s">
        <v>51</v>
      </c>
      <c r="L13" s="197">
        <f t="shared" si="0"/>
        <v>-1.421321329085048E-2</v>
      </c>
      <c r="M13" s="7">
        <f t="shared" si="1"/>
        <v>-0.13661909573124542</v>
      </c>
      <c r="N13" s="7">
        <f t="shared" si="1"/>
        <v>8.0453464984457934E-3</v>
      </c>
      <c r="O13" s="7">
        <f t="shared" si="1"/>
        <v>2.521313259568303E-2</v>
      </c>
      <c r="P13" s="7">
        <f t="shared" si="1"/>
        <v>1.6808209483368808E-2</v>
      </c>
      <c r="Q13" s="7">
        <f t="shared" si="1"/>
        <v>1.5486340699495393E-2</v>
      </c>
      <c r="S13" s="7">
        <v>2.1145047607270984E-2</v>
      </c>
      <c r="T13" s="7">
        <v>-7.9329380494785884E-3</v>
      </c>
      <c r="U13" s="201" t="s">
        <v>45</v>
      </c>
      <c r="V13" s="197">
        <v>8.6710969055996175E-3</v>
      </c>
      <c r="W13" s="7">
        <v>1.0619916557798481E-2</v>
      </c>
      <c r="X13" s="7">
        <v>1.9765647804511843E-2</v>
      </c>
      <c r="Y13" s="7">
        <v>-7.9329380494785884E-3</v>
      </c>
      <c r="Z13" s="7">
        <v>2.1145047607270984E-2</v>
      </c>
      <c r="AA13" s="7">
        <v>-2.4218939210463031E-4</v>
      </c>
    </row>
    <row r="14" spans="1:27" ht="15.75" thickBot="1" x14ac:dyDescent="0.3">
      <c r="A14" s="201" t="s">
        <v>45</v>
      </c>
      <c r="B14" s="196">
        <v>237.29</v>
      </c>
      <c r="C14" s="196">
        <v>239.81</v>
      </c>
      <c r="D14" s="196">
        <v>244.55</v>
      </c>
      <c r="E14" s="196">
        <v>242.61</v>
      </c>
      <c r="F14" s="196">
        <v>247.74</v>
      </c>
      <c r="G14" s="196">
        <v>247.68</v>
      </c>
      <c r="H14" s="196"/>
      <c r="I14" s="7">
        <f t="shared" si="2"/>
        <v>2.1145047607270984E-2</v>
      </c>
      <c r="J14" s="7">
        <f t="shared" si="3"/>
        <v>-7.9329380494785884E-3</v>
      </c>
      <c r="K14" s="201" t="s">
        <v>45</v>
      </c>
      <c r="L14" s="197">
        <f t="shared" si="0"/>
        <v>8.6710969055996175E-3</v>
      </c>
      <c r="M14" s="7">
        <f t="shared" si="1"/>
        <v>1.0619916557798481E-2</v>
      </c>
      <c r="N14" s="7">
        <f t="shared" si="1"/>
        <v>1.9765647804511843E-2</v>
      </c>
      <c r="O14" s="7">
        <f t="shared" si="1"/>
        <v>-7.9329380494785884E-3</v>
      </c>
      <c r="P14" s="7">
        <f t="shared" si="1"/>
        <v>2.1145047607270984E-2</v>
      </c>
      <c r="Q14" s="7">
        <f t="shared" si="1"/>
        <v>-2.4218939210463031E-4</v>
      </c>
      <c r="S14" s="7">
        <v>3.7824647028063429E-2</v>
      </c>
      <c r="T14" s="7">
        <v>-4.0417649040080939E-3</v>
      </c>
      <c r="U14" s="201" t="s">
        <v>23</v>
      </c>
      <c r="V14" s="197">
        <v>7.7997584654510678E-3</v>
      </c>
      <c r="W14" s="7">
        <v>3.5137034434296055E-4</v>
      </c>
      <c r="X14" s="7">
        <v>7.5518089216719542E-3</v>
      </c>
      <c r="Y14" s="7">
        <v>3.7824647028063429E-2</v>
      </c>
      <c r="Z14" s="7">
        <v>-2.6872690628149121E-3</v>
      </c>
      <c r="AA14" s="7">
        <v>-4.0417649040080939E-3</v>
      </c>
    </row>
    <row r="15" spans="1:27" ht="15.75" thickBot="1" x14ac:dyDescent="0.3">
      <c r="A15" s="201" t="s">
        <v>46</v>
      </c>
      <c r="B15" s="196">
        <v>114.01</v>
      </c>
      <c r="C15" s="196">
        <v>114.13</v>
      </c>
      <c r="D15" s="196">
        <v>112.31</v>
      </c>
      <c r="E15" s="196">
        <v>109.85</v>
      </c>
      <c r="F15" s="196">
        <v>110.42</v>
      </c>
      <c r="G15" s="196">
        <v>113.41</v>
      </c>
      <c r="H15" s="196"/>
      <c r="I15" s="7">
        <f t="shared" si="2"/>
        <v>2.7078427821046969E-2</v>
      </c>
      <c r="J15" s="7">
        <f t="shared" si="3"/>
        <v>-2.1903659513845652E-2</v>
      </c>
      <c r="K15" s="201" t="s">
        <v>46</v>
      </c>
      <c r="L15" s="197">
        <f t="shared" si="0"/>
        <v>-9.0610518233393835E-4</v>
      </c>
      <c r="M15" s="7">
        <f t="shared" si="1"/>
        <v>1.0525392509428411E-3</v>
      </c>
      <c r="N15" s="7">
        <f t="shared" si="1"/>
        <v>-1.5946727416104367E-2</v>
      </c>
      <c r="O15" s="7">
        <f t="shared" si="1"/>
        <v>-2.1903659513845652E-2</v>
      </c>
      <c r="P15" s="7">
        <f t="shared" si="1"/>
        <v>5.1888939462905181E-3</v>
      </c>
      <c r="Q15" s="7">
        <f t="shared" si="1"/>
        <v>2.7078427821046969E-2</v>
      </c>
      <c r="S15" s="7">
        <v>2.8213166144200663E-2</v>
      </c>
      <c r="T15" s="7">
        <v>-3.0487804878047697E-3</v>
      </c>
      <c r="U15" s="200" t="s">
        <v>18</v>
      </c>
      <c r="V15" s="197">
        <v>7.1661166031691259E-3</v>
      </c>
      <c r="W15" s="7">
        <v>2.8213166144200663E-2</v>
      </c>
      <c r="X15" s="7">
        <v>-3.0487804878047697E-3</v>
      </c>
      <c r="Y15" s="7">
        <v>4.5871559633028358E-3</v>
      </c>
      <c r="Z15" s="7">
        <v>3.0441400304412891E-3</v>
      </c>
      <c r="AA15" s="7">
        <v>3.0349013657056112E-3</v>
      </c>
    </row>
    <row r="16" spans="1:27" ht="15.75" thickBot="1" x14ac:dyDescent="0.3">
      <c r="A16" s="200" t="s">
        <v>37</v>
      </c>
      <c r="B16" s="196">
        <v>20.65</v>
      </c>
      <c r="C16" s="196">
        <v>20.93</v>
      </c>
      <c r="D16" s="196">
        <v>21.01</v>
      </c>
      <c r="E16" s="196">
        <v>21.11</v>
      </c>
      <c r="F16" s="196">
        <v>20.91</v>
      </c>
      <c r="G16" s="196">
        <v>20.95</v>
      </c>
      <c r="H16" s="196"/>
      <c r="I16" s="7">
        <f t="shared" si="2"/>
        <v>1.3559322033898313E-2</v>
      </c>
      <c r="J16" s="7">
        <f t="shared" si="3"/>
        <v>-9.4741828517289628E-3</v>
      </c>
      <c r="K16" s="200" t="s">
        <v>37</v>
      </c>
      <c r="L16" s="197">
        <f t="shared" si="0"/>
        <v>2.9160004895129044E-3</v>
      </c>
      <c r="M16" s="7">
        <f t="shared" si="1"/>
        <v>1.3559322033898313E-2</v>
      </c>
      <c r="N16" s="7">
        <f t="shared" si="1"/>
        <v>3.8222646918300018E-3</v>
      </c>
      <c r="O16" s="7">
        <f t="shared" si="1"/>
        <v>4.7596382674914839E-3</v>
      </c>
      <c r="P16" s="7">
        <f t="shared" si="1"/>
        <v>-9.4741828517289628E-3</v>
      </c>
      <c r="Q16" s="7">
        <f t="shared" si="1"/>
        <v>1.9129603060736855E-3</v>
      </c>
      <c r="S16" s="7">
        <v>3.0487804878048808E-2</v>
      </c>
      <c r="T16" s="7">
        <v>-1.3368983957219305E-2</v>
      </c>
      <c r="U16" s="201" t="s">
        <v>214</v>
      </c>
      <c r="V16" s="197">
        <v>6.8937482424886506E-3</v>
      </c>
      <c r="W16" s="7">
        <v>-1.3368983957219305E-2</v>
      </c>
      <c r="X16" s="7">
        <v>3.0487804878048808E-2</v>
      </c>
      <c r="Y16" s="7">
        <v>4.6022353714660902E-3</v>
      </c>
      <c r="Z16" s="7">
        <v>-1.2434554973821954E-2</v>
      </c>
      <c r="AA16" s="7">
        <v>2.5182239893969616E-2</v>
      </c>
    </row>
    <row r="17" spans="1:27" ht="15.75" thickBot="1" x14ac:dyDescent="0.3">
      <c r="A17" s="201" t="s">
        <v>73</v>
      </c>
      <c r="B17" s="196">
        <v>14.1</v>
      </c>
      <c r="C17" s="196">
        <v>14.21</v>
      </c>
      <c r="D17" s="196">
        <v>14.19</v>
      </c>
      <c r="E17" s="196">
        <v>14.37</v>
      </c>
      <c r="F17" s="196">
        <v>14.21</v>
      </c>
      <c r="G17" s="196">
        <v>14.24</v>
      </c>
      <c r="H17" s="196"/>
      <c r="I17" s="7">
        <f t="shared" si="2"/>
        <v>1.2684989429175397E-2</v>
      </c>
      <c r="J17" s="7">
        <f t="shared" si="3"/>
        <v>-1.1134307585246916E-2</v>
      </c>
      <c r="K17" s="201" t="s">
        <v>73</v>
      </c>
      <c r="L17" s="197">
        <f t="shared" si="0"/>
        <v>2.011166010282772E-3</v>
      </c>
      <c r="M17" s="7">
        <f t="shared" si="1"/>
        <v>7.8014184397163788E-3</v>
      </c>
      <c r="N17" s="7">
        <f t="shared" si="1"/>
        <v>-1.4074595355384467E-3</v>
      </c>
      <c r="O17" s="7">
        <f t="shared" si="1"/>
        <v>1.2684989429175397E-2</v>
      </c>
      <c r="P17" s="7">
        <f t="shared" si="1"/>
        <v>-1.1134307585246916E-2</v>
      </c>
      <c r="Q17" s="7">
        <f t="shared" si="1"/>
        <v>2.111189303307448E-3</v>
      </c>
      <c r="S17" s="7">
        <v>8.4094655379542971E-3</v>
      </c>
      <c r="T17" s="7">
        <v>-3.5531205077435901E-3</v>
      </c>
      <c r="U17" s="201" t="s">
        <v>33</v>
      </c>
      <c r="V17" s="197">
        <v>5.2352858280799493E-3</v>
      </c>
      <c r="W17" s="7">
        <v>8.4094655379542971E-3</v>
      </c>
      <c r="X17" s="7">
        <v>6.5384828503352033E-3</v>
      </c>
      <c r="Y17" s="7">
        <v>7.4318744838974826E-3</v>
      </c>
      <c r="Z17" s="7">
        <v>7.3497267759563556E-3</v>
      </c>
      <c r="AA17" s="7">
        <v>-3.5531205077435901E-3</v>
      </c>
    </row>
    <row r="18" spans="1:27" ht="15.75" thickBot="1" x14ac:dyDescent="0.3">
      <c r="A18" s="201" t="s">
        <v>58</v>
      </c>
      <c r="B18" s="196">
        <v>28.4</v>
      </c>
      <c r="C18" s="196">
        <v>27.83</v>
      </c>
      <c r="D18" s="196">
        <v>28</v>
      </c>
      <c r="E18" s="196">
        <v>27.01</v>
      </c>
      <c r="F18" s="196">
        <v>27.01</v>
      </c>
      <c r="G18" s="196">
        <v>28.1</v>
      </c>
      <c r="H18" s="196"/>
      <c r="I18" s="7">
        <f t="shared" si="2"/>
        <v>4.0355423917067812E-2</v>
      </c>
      <c r="J18" s="7">
        <f t="shared" si="3"/>
        <v>-3.5357142857142754E-2</v>
      </c>
      <c r="K18" s="201" t="s">
        <v>58</v>
      </c>
      <c r="L18" s="197">
        <f t="shared" si="0"/>
        <v>-1.7927250970694475E-3</v>
      </c>
      <c r="M18" s="7">
        <f t="shared" si="1"/>
        <v>-2.0070422535211296E-2</v>
      </c>
      <c r="N18" s="7">
        <f t="shared" si="1"/>
        <v>6.1085159899390007E-3</v>
      </c>
      <c r="O18" s="7">
        <f t="shared" si="1"/>
        <v>-3.5357142857142754E-2</v>
      </c>
      <c r="P18" s="7">
        <f t="shared" si="1"/>
        <v>0</v>
      </c>
      <c r="Q18" s="7">
        <f t="shared" si="1"/>
        <v>4.0355423917067812E-2</v>
      </c>
      <c r="S18" s="7">
        <v>1.1450381679389166E-2</v>
      </c>
      <c r="T18" s="7">
        <v>-5.6603773584905648E-3</v>
      </c>
      <c r="U18" s="201" t="s">
        <v>36</v>
      </c>
      <c r="V18" s="197">
        <v>4.4423401911960481E-3</v>
      </c>
      <c r="W18" s="7">
        <v>8.7293889427739746E-3</v>
      </c>
      <c r="X18" s="7">
        <v>7.692307692307665E-3</v>
      </c>
      <c r="Y18" s="7">
        <v>1.1450381679389166E-2</v>
      </c>
      <c r="Z18" s="7">
        <v>-5.6603773584905648E-3</v>
      </c>
      <c r="AA18" s="7">
        <v>0</v>
      </c>
    </row>
    <row r="19" spans="1:27" ht="15.75" thickBot="1" x14ac:dyDescent="0.3">
      <c r="A19" s="201" t="s">
        <v>32</v>
      </c>
      <c r="B19" s="196">
        <v>10.62</v>
      </c>
      <c r="C19" s="196">
        <v>10.71</v>
      </c>
      <c r="D19" s="196">
        <v>10.73</v>
      </c>
      <c r="E19" s="196">
        <v>10.82</v>
      </c>
      <c r="F19" s="196">
        <v>10.61</v>
      </c>
      <c r="G19" s="196">
        <v>10.71</v>
      </c>
      <c r="H19" s="196"/>
      <c r="I19" s="7">
        <f t="shared" si="2"/>
        <v>9.4250706880303348E-3</v>
      </c>
      <c r="J19" s="7">
        <f t="shared" si="3"/>
        <v>-1.9408502772643277E-2</v>
      </c>
      <c r="K19" s="201" t="s">
        <v>32</v>
      </c>
      <c r="L19" s="197">
        <f t="shared" si="0"/>
        <v>1.749251172312749E-3</v>
      </c>
      <c r="M19" s="7">
        <f t="shared" si="1"/>
        <v>8.4745762711866401E-3</v>
      </c>
      <c r="N19" s="7">
        <f t="shared" si="1"/>
        <v>1.8674136321195078E-3</v>
      </c>
      <c r="O19" s="7">
        <f t="shared" si="1"/>
        <v>8.3876980428705394E-3</v>
      </c>
      <c r="P19" s="7">
        <f t="shared" si="1"/>
        <v>-1.9408502772643277E-2</v>
      </c>
      <c r="Q19" s="7">
        <f t="shared" si="1"/>
        <v>9.4250706880303348E-3</v>
      </c>
      <c r="S19" s="7">
        <v>1.7742788320310066E-2</v>
      </c>
      <c r="T19" s="7">
        <v>-7.087647659326235E-3</v>
      </c>
      <c r="U19" s="201" t="s">
        <v>47</v>
      </c>
      <c r="V19" s="197">
        <v>4.3412039065711117E-3</v>
      </c>
      <c r="W19" s="7">
        <v>4.689020613996453E-3</v>
      </c>
      <c r="X19" s="7">
        <v>1.6437712809673766E-3</v>
      </c>
      <c r="Y19" s="7">
        <v>4.7180869769078981E-3</v>
      </c>
      <c r="Z19" s="7">
        <v>-7.087647659326235E-3</v>
      </c>
      <c r="AA19" s="7">
        <v>1.7742788320310066E-2</v>
      </c>
    </row>
    <row r="20" spans="1:27" ht="15.75" thickBot="1" x14ac:dyDescent="0.3">
      <c r="A20" s="201" t="s">
        <v>86</v>
      </c>
      <c r="B20" s="196">
        <v>0.64</v>
      </c>
      <c r="C20" s="196">
        <v>0.64</v>
      </c>
      <c r="D20" s="196">
        <v>0.63</v>
      </c>
      <c r="E20" s="196">
        <v>0.62</v>
      </c>
      <c r="F20" s="196">
        <v>0.63</v>
      </c>
      <c r="G20" s="196">
        <v>0.62</v>
      </c>
      <c r="H20" s="196"/>
      <c r="I20" s="7">
        <f t="shared" si="2"/>
        <v>1.6129032258064502E-2</v>
      </c>
      <c r="J20" s="7">
        <f t="shared" si="3"/>
        <v>-1.5873015873015928E-2</v>
      </c>
      <c r="K20" s="201" t="s">
        <v>86</v>
      </c>
      <c r="L20" s="197">
        <f t="shared" si="0"/>
        <v>-6.2483998975934709E-3</v>
      </c>
      <c r="M20" s="7">
        <f t="shared" si="1"/>
        <v>0</v>
      </c>
      <c r="N20" s="7">
        <f t="shared" si="1"/>
        <v>-1.5625E-2</v>
      </c>
      <c r="O20" s="7">
        <f t="shared" si="1"/>
        <v>-1.5873015873015928E-2</v>
      </c>
      <c r="P20" s="7">
        <f t="shared" si="1"/>
        <v>1.6129032258064502E-2</v>
      </c>
      <c r="Q20" s="7">
        <f t="shared" si="1"/>
        <v>-1.5873015873015928E-2</v>
      </c>
      <c r="S20" s="7">
        <v>2.2471910112359383E-2</v>
      </c>
      <c r="T20" s="7">
        <v>-1.2087912087912045E-2</v>
      </c>
      <c r="U20" s="201" t="s">
        <v>17</v>
      </c>
      <c r="V20" s="197">
        <v>3.9699200645858298E-3</v>
      </c>
      <c r="W20" s="7">
        <v>5.1635111876076056E-3</v>
      </c>
      <c r="X20" s="7">
        <v>1.5981735159817489E-2</v>
      </c>
      <c r="Y20" s="7">
        <v>2.2471910112359383E-2</v>
      </c>
      <c r="Z20" s="7">
        <v>-1.2087912087912045E-2</v>
      </c>
      <c r="AA20" s="7">
        <v>-1.1679644048943283E-2</v>
      </c>
    </row>
    <row r="21" spans="1:27" ht="15.75" thickBot="1" x14ac:dyDescent="0.3">
      <c r="A21" s="201" t="s">
        <v>14</v>
      </c>
      <c r="B21" s="196">
        <v>14.28</v>
      </c>
      <c r="C21" s="196">
        <v>14.04</v>
      </c>
      <c r="D21" s="196">
        <v>13.98</v>
      </c>
      <c r="E21" s="196">
        <v>13.69</v>
      </c>
      <c r="F21" s="196">
        <v>13.95</v>
      </c>
      <c r="G21" s="196">
        <v>13.98</v>
      </c>
      <c r="H21" s="196"/>
      <c r="I21" s="7">
        <f t="shared" si="2"/>
        <v>1.8991964937910888E-2</v>
      </c>
      <c r="J21" s="7">
        <f t="shared" si="3"/>
        <v>-2.0743919885550799E-2</v>
      </c>
      <c r="K21" s="201" t="s">
        <v>14</v>
      </c>
      <c r="L21" s="197">
        <f t="shared" si="0"/>
        <v>-4.1363288551622187E-3</v>
      </c>
      <c r="M21" s="7">
        <f t="shared" si="1"/>
        <v>-1.6806722689075682E-2</v>
      </c>
      <c r="N21" s="7">
        <f t="shared" si="1"/>
        <v>-4.2735042735041473E-3</v>
      </c>
      <c r="O21" s="7">
        <f t="shared" si="1"/>
        <v>-2.0743919885550799E-2</v>
      </c>
      <c r="P21" s="7">
        <f t="shared" si="1"/>
        <v>1.8991964937910888E-2</v>
      </c>
      <c r="Q21" s="7">
        <f t="shared" si="1"/>
        <v>2.1505376344086446E-3</v>
      </c>
      <c r="S21" s="7">
        <v>1.1169284467713814E-2</v>
      </c>
      <c r="T21" s="7">
        <v>-2.7845457709712029E-3</v>
      </c>
      <c r="U21" s="201" t="s">
        <v>67</v>
      </c>
      <c r="V21" s="197">
        <v>3.8156112267680787E-3</v>
      </c>
      <c r="W21" s="7">
        <v>-2.7845457709712029E-3</v>
      </c>
      <c r="X21" s="7">
        <v>1.1169284467713814E-2</v>
      </c>
      <c r="Y21" s="7">
        <v>-2.0711080428028605E-3</v>
      </c>
      <c r="Z21" s="7">
        <v>8.9934278796264255E-3</v>
      </c>
      <c r="AA21" s="7">
        <v>3.7709976002742174E-3</v>
      </c>
    </row>
    <row r="22" spans="1:27" ht="15.75" thickBot="1" x14ac:dyDescent="0.3">
      <c r="A22" s="199" t="s">
        <v>89</v>
      </c>
      <c r="B22" s="196">
        <v>464</v>
      </c>
      <c r="C22" s="196">
        <v>466.99</v>
      </c>
      <c r="D22" s="196">
        <v>468.02</v>
      </c>
      <c r="E22" s="196">
        <v>460.7</v>
      </c>
      <c r="F22" s="196">
        <v>455</v>
      </c>
      <c r="G22" s="196">
        <v>453.88</v>
      </c>
      <c r="H22" s="196"/>
      <c r="I22" s="7">
        <f t="shared" si="2"/>
        <v>6.4439655172414678E-3</v>
      </c>
      <c r="J22" s="7">
        <f t="shared" si="3"/>
        <v>-1.5640357249690151E-2</v>
      </c>
      <c r="K22" s="199" t="s">
        <v>89</v>
      </c>
      <c r="L22" s="197">
        <f t="shared" si="0"/>
        <v>-4.3649584357347447E-3</v>
      </c>
      <c r="M22" s="7">
        <f t="shared" si="1"/>
        <v>6.4439655172414678E-3</v>
      </c>
      <c r="N22" s="7">
        <f t="shared" si="1"/>
        <v>2.2056146812565736E-3</v>
      </c>
      <c r="O22" s="7">
        <f t="shared" si="1"/>
        <v>-1.5640357249690151E-2</v>
      </c>
      <c r="P22" s="7">
        <f t="shared" si="1"/>
        <v>-1.23724766659431E-2</v>
      </c>
      <c r="Q22" s="7">
        <f t="shared" si="1"/>
        <v>-2.461538461538515E-3</v>
      </c>
      <c r="S22" s="7">
        <v>1.7538815411155761E-2</v>
      </c>
      <c r="T22" s="7">
        <v>-1.4628603891492786E-2</v>
      </c>
      <c r="U22" s="199" t="s">
        <v>57</v>
      </c>
      <c r="V22" s="197">
        <v>3.4804448420497681E-3</v>
      </c>
      <c r="W22" s="7">
        <v>3.8804254096005408E-3</v>
      </c>
      <c r="X22" s="7">
        <v>8.017179670722907E-3</v>
      </c>
      <c r="Y22" s="7">
        <v>-1.4628603891492786E-2</v>
      </c>
      <c r="Z22" s="7">
        <v>2.594407610262417E-3</v>
      </c>
      <c r="AA22" s="7">
        <v>1.7538815411155761E-2</v>
      </c>
    </row>
    <row r="23" spans="1:27" ht="15.75" thickBot="1" x14ac:dyDescent="0.3">
      <c r="A23" s="199" t="s">
        <v>94</v>
      </c>
      <c r="B23" s="196">
        <v>127.33</v>
      </c>
      <c r="C23" s="196">
        <v>126.57</v>
      </c>
      <c r="D23" s="196">
        <v>125.5</v>
      </c>
      <c r="E23" s="196">
        <v>122.41</v>
      </c>
      <c r="F23" s="196">
        <v>120.86</v>
      </c>
      <c r="G23" s="196">
        <v>119.02</v>
      </c>
      <c r="H23" s="196"/>
      <c r="I23" s="7">
        <f t="shared" si="2"/>
        <v>-5.9687426372418972E-3</v>
      </c>
      <c r="J23" s="7">
        <f t="shared" si="3"/>
        <v>-2.4621513944223183E-2</v>
      </c>
      <c r="K23" s="199" t="s">
        <v>94</v>
      </c>
      <c r="L23" s="197">
        <f t="shared" si="0"/>
        <v>-1.33861334331133E-2</v>
      </c>
      <c r="M23" s="7">
        <f t="shared" si="1"/>
        <v>-5.9687426372418972E-3</v>
      </c>
      <c r="N23" s="7">
        <f t="shared" si="1"/>
        <v>-8.4538200205419578E-3</v>
      </c>
      <c r="O23" s="7">
        <f t="shared" si="1"/>
        <v>-2.4621513944223183E-2</v>
      </c>
      <c r="P23" s="7">
        <f t="shared" si="1"/>
        <v>-1.2662364185932473E-2</v>
      </c>
      <c r="Q23" s="7">
        <f t="shared" si="1"/>
        <v>-1.5224226377626993E-2</v>
      </c>
      <c r="S23" s="7">
        <v>1.3559322033898313E-2</v>
      </c>
      <c r="T23" s="7">
        <v>-9.4741828517289628E-3</v>
      </c>
      <c r="U23" s="201" t="s">
        <v>37</v>
      </c>
      <c r="V23" s="197">
        <v>2.9160004895129044E-3</v>
      </c>
      <c r="W23" s="7">
        <v>1.3559322033898313E-2</v>
      </c>
      <c r="X23" s="7">
        <v>3.8222646918300018E-3</v>
      </c>
      <c r="Y23" s="7">
        <v>4.7596382674914839E-3</v>
      </c>
      <c r="Z23" s="7">
        <v>-9.4741828517289628E-3</v>
      </c>
      <c r="AA23" s="7">
        <v>1.9129603060736855E-3</v>
      </c>
    </row>
    <row r="24" spans="1:27" ht="15.75" thickBot="1" x14ac:dyDescent="0.3">
      <c r="A24" s="201" t="s">
        <v>53</v>
      </c>
      <c r="B24" s="196">
        <v>36.5</v>
      </c>
      <c r="C24" s="196">
        <v>36.35</v>
      </c>
      <c r="D24" s="196">
        <v>36.15</v>
      </c>
      <c r="E24" s="196">
        <v>38.1</v>
      </c>
      <c r="F24" s="196">
        <v>39.25</v>
      </c>
      <c r="G24" s="196">
        <v>38.450000000000003</v>
      </c>
      <c r="H24" s="196"/>
      <c r="I24" s="7">
        <f t="shared" si="2"/>
        <v>5.3941908713692976E-2</v>
      </c>
      <c r="J24" s="7">
        <f t="shared" si="3"/>
        <v>-2.0382165605095426E-2</v>
      </c>
      <c r="K24" s="201" t="s">
        <v>53</v>
      </c>
      <c r="L24" s="197">
        <f t="shared" si="0"/>
        <v>1.0826363565578956E-2</v>
      </c>
      <c r="M24" s="7">
        <f t="shared" si="1"/>
        <v>-4.109589041095818E-3</v>
      </c>
      <c r="N24" s="7">
        <f t="shared" si="1"/>
        <v>-5.5020632737277086E-3</v>
      </c>
      <c r="O24" s="7">
        <f t="shared" si="1"/>
        <v>5.3941908713692976E-2</v>
      </c>
      <c r="P24" s="7">
        <f t="shared" si="1"/>
        <v>3.0183727034120755E-2</v>
      </c>
      <c r="Q24" s="7">
        <f t="shared" si="1"/>
        <v>-2.0382165605095426E-2</v>
      </c>
      <c r="S24" s="7">
        <v>1.9966722129783676E-2</v>
      </c>
      <c r="T24" s="7">
        <v>-1.2846655791190931E-2</v>
      </c>
      <c r="U24" s="201" t="s">
        <v>38</v>
      </c>
      <c r="V24" s="197">
        <v>2.7506529127017789E-3</v>
      </c>
      <c r="W24" s="7">
        <v>-4.7836938435938947E-3</v>
      </c>
      <c r="X24" s="7">
        <v>4.8066875653081098E-3</v>
      </c>
      <c r="Y24" s="7">
        <v>1.9966722129783676E-2</v>
      </c>
      <c r="Z24" s="7">
        <v>-1.2846655791190931E-2</v>
      </c>
      <c r="AA24" s="7">
        <v>6.610204503201933E-3</v>
      </c>
    </row>
    <row r="25" spans="1:27" ht="15.75" thickBot="1" x14ac:dyDescent="0.3">
      <c r="A25" s="201" t="s">
        <v>69</v>
      </c>
      <c r="B25" s="196">
        <v>18.34</v>
      </c>
      <c r="C25" s="196">
        <v>18.32</v>
      </c>
      <c r="D25" s="196">
        <v>18.28</v>
      </c>
      <c r="E25" s="196">
        <v>18.36</v>
      </c>
      <c r="F25" s="196">
        <v>18.3</v>
      </c>
      <c r="G25" s="196">
        <v>18.399999999999999</v>
      </c>
      <c r="H25" s="196"/>
      <c r="I25" s="7">
        <f t="shared" si="2"/>
        <v>5.4644808743167239E-3</v>
      </c>
      <c r="J25" s="7">
        <f t="shared" si="3"/>
        <v>-3.2679738562090277E-3</v>
      </c>
      <c r="K25" s="201" t="s">
        <v>69</v>
      </c>
      <c r="L25" s="197">
        <f t="shared" si="0"/>
        <v>6.5979119571120122E-4</v>
      </c>
      <c r="M25" s="7">
        <f t="shared" si="1"/>
        <v>-1.0905125408942062E-3</v>
      </c>
      <c r="N25" s="7">
        <f t="shared" si="1"/>
        <v>-2.1834061135370675E-3</v>
      </c>
      <c r="O25" s="7">
        <f t="shared" si="1"/>
        <v>4.3763676148795838E-3</v>
      </c>
      <c r="P25" s="7">
        <f t="shared" si="1"/>
        <v>-3.2679738562090277E-3</v>
      </c>
      <c r="Q25" s="7">
        <f t="shared" si="1"/>
        <v>5.4644808743167239E-3</v>
      </c>
      <c r="S25" s="7">
        <v>2.5236593059936974E-2</v>
      </c>
      <c r="T25" s="7">
        <v>-1.3056835637480835E-2</v>
      </c>
      <c r="U25" s="200" t="s">
        <v>19</v>
      </c>
      <c r="V25" s="197">
        <v>2.4410664435816631E-3</v>
      </c>
      <c r="W25" s="7">
        <v>-8.6614173228346525E-3</v>
      </c>
      <c r="X25" s="7">
        <v>7.1485305798253407E-3</v>
      </c>
      <c r="Y25" s="7">
        <v>2.5236593059936974E-2</v>
      </c>
      <c r="Z25" s="7">
        <v>1.5384615384614886E-3</v>
      </c>
      <c r="AA25" s="7">
        <v>-1.3056835637480835E-2</v>
      </c>
    </row>
    <row r="26" spans="1:27" ht="15.75" thickBot="1" x14ac:dyDescent="0.3">
      <c r="A26" s="201" t="s">
        <v>71</v>
      </c>
      <c r="B26" s="196">
        <v>30.71</v>
      </c>
      <c r="C26" s="196">
        <v>30.17</v>
      </c>
      <c r="D26" s="196">
        <v>29.96</v>
      </c>
      <c r="E26" s="196">
        <v>30.66</v>
      </c>
      <c r="F26" s="196">
        <v>30.71</v>
      </c>
      <c r="G26" s="196">
        <v>30.88</v>
      </c>
      <c r="H26" s="196"/>
      <c r="I26" s="7">
        <f t="shared" si="2"/>
        <v>2.3364485981308469E-2</v>
      </c>
      <c r="J26" s="7">
        <f t="shared" si="3"/>
        <v>-1.7583848909150102E-2</v>
      </c>
      <c r="K26" s="201" t="s">
        <v>71</v>
      </c>
      <c r="L26" s="197">
        <f t="shared" si="0"/>
        <v>1.1973051335397501E-3</v>
      </c>
      <c r="M26" s="7">
        <f t="shared" si="1"/>
        <v>-1.7583848909150102E-2</v>
      </c>
      <c r="N26" s="7">
        <f t="shared" si="1"/>
        <v>-6.9605568445475496E-3</v>
      </c>
      <c r="O26" s="7">
        <f t="shared" si="1"/>
        <v>2.3364485981308469E-2</v>
      </c>
      <c r="P26" s="7">
        <f t="shared" si="1"/>
        <v>1.6307893020222064E-3</v>
      </c>
      <c r="Q26" s="7">
        <f t="shared" si="1"/>
        <v>5.5356561380657254E-3</v>
      </c>
      <c r="S26" s="7">
        <v>3.8698822209758621E-2</v>
      </c>
      <c r="T26" s="7">
        <v>-2.732240437158473E-2</v>
      </c>
      <c r="U26" s="199" t="s">
        <v>90</v>
      </c>
      <c r="V26" s="197">
        <v>2.0777945112482542E-3</v>
      </c>
      <c r="W26" s="7">
        <v>5.9945504087193235E-3</v>
      </c>
      <c r="X26" s="7">
        <v>-8.6673889490790357E-3</v>
      </c>
      <c r="Y26" s="7">
        <v>-2.732240437158473E-2</v>
      </c>
      <c r="Z26" s="7">
        <v>1.6853932584270925E-3</v>
      </c>
      <c r="AA26" s="7">
        <v>3.8698822209758621E-2</v>
      </c>
    </row>
    <row r="27" spans="1:27" ht="15.75" thickBot="1" x14ac:dyDescent="0.3">
      <c r="A27" s="201" t="s">
        <v>68</v>
      </c>
      <c r="B27" s="196">
        <v>13.76</v>
      </c>
      <c r="C27" s="196">
        <v>13.64</v>
      </c>
      <c r="D27" s="196">
        <v>13.59</v>
      </c>
      <c r="E27" s="196">
        <v>13.88</v>
      </c>
      <c r="F27" s="196">
        <v>13.95</v>
      </c>
      <c r="G27" s="196">
        <v>13.89</v>
      </c>
      <c r="H27" s="196"/>
      <c r="I27" s="7">
        <f t="shared" si="2"/>
        <v>2.1339220014716664E-2</v>
      </c>
      <c r="J27" s="7">
        <f t="shared" si="3"/>
        <v>-8.720930232558044E-3</v>
      </c>
      <c r="K27" s="201" t="s">
        <v>68</v>
      </c>
      <c r="L27" s="197">
        <f t="shared" si="0"/>
        <v>1.9389506058974826E-3</v>
      </c>
      <c r="M27" s="7">
        <f t="shared" si="1"/>
        <v>-8.720930232558044E-3</v>
      </c>
      <c r="N27" s="7">
        <f t="shared" si="1"/>
        <v>-3.665689149560114E-3</v>
      </c>
      <c r="O27" s="7">
        <f t="shared" si="1"/>
        <v>2.1339220014716664E-2</v>
      </c>
      <c r="P27" s="7">
        <f t="shared" si="1"/>
        <v>5.0432276657059738E-3</v>
      </c>
      <c r="Q27" s="7">
        <f t="shared" si="1"/>
        <v>-4.3010752688170673E-3</v>
      </c>
      <c r="S27" s="7">
        <v>1.2684989429175397E-2</v>
      </c>
      <c r="T27" s="7">
        <v>-1.1134307585246916E-2</v>
      </c>
      <c r="U27" s="200" t="s">
        <v>73</v>
      </c>
      <c r="V27" s="197">
        <v>2.011166010282772E-3</v>
      </c>
      <c r="W27" s="7">
        <v>7.8014184397163788E-3</v>
      </c>
      <c r="X27" s="7">
        <v>-1.4074595355384467E-3</v>
      </c>
      <c r="Y27" s="7">
        <v>1.2684989429175397E-2</v>
      </c>
      <c r="Z27" s="7">
        <v>-1.1134307585246916E-2</v>
      </c>
      <c r="AA27" s="7">
        <v>2.111189303307448E-3</v>
      </c>
    </row>
    <row r="28" spans="1:27" ht="15.75" thickBot="1" x14ac:dyDescent="0.3">
      <c r="A28" s="199" t="s">
        <v>34</v>
      </c>
      <c r="B28" s="196">
        <v>327.24</v>
      </c>
      <c r="C28" s="196">
        <v>329.1</v>
      </c>
      <c r="D28" s="196">
        <v>332.38</v>
      </c>
      <c r="E28" s="196">
        <v>331.14</v>
      </c>
      <c r="F28" s="196">
        <v>333.46</v>
      </c>
      <c r="G28" s="196">
        <v>343.75</v>
      </c>
      <c r="H28" s="196"/>
      <c r="I28" s="7">
        <f t="shared" si="2"/>
        <v>3.085827385593487E-2</v>
      </c>
      <c r="J28" s="7">
        <f t="shared" si="3"/>
        <v>-3.730669715386048E-3</v>
      </c>
      <c r="K28" s="199" t="s">
        <v>34</v>
      </c>
      <c r="L28" s="197">
        <f t="shared" si="0"/>
        <v>9.9568363023864841E-3</v>
      </c>
      <c r="M28" s="7">
        <f t="shared" si="1"/>
        <v>5.6839017235057465E-3</v>
      </c>
      <c r="N28" s="7">
        <f t="shared" si="1"/>
        <v>9.9665755089637376E-3</v>
      </c>
      <c r="O28" s="7">
        <f t="shared" si="1"/>
        <v>-3.730669715386048E-3</v>
      </c>
      <c r="P28" s="7">
        <f t="shared" si="1"/>
        <v>7.0061001389141175E-3</v>
      </c>
      <c r="Q28" s="7">
        <f t="shared" si="1"/>
        <v>3.085827385593487E-2</v>
      </c>
      <c r="S28" s="7">
        <v>2.1339220014716664E-2</v>
      </c>
      <c r="T28" s="7">
        <v>-8.720930232558044E-3</v>
      </c>
      <c r="U28" s="201" t="s">
        <v>68</v>
      </c>
      <c r="V28" s="197">
        <v>1.9389506058974826E-3</v>
      </c>
      <c r="W28" s="7">
        <v>-8.720930232558044E-3</v>
      </c>
      <c r="X28" s="7">
        <v>-3.665689149560114E-3</v>
      </c>
      <c r="Y28" s="7">
        <v>2.1339220014716664E-2</v>
      </c>
      <c r="Z28" s="7">
        <v>5.0432276657059738E-3</v>
      </c>
      <c r="AA28" s="7">
        <v>-4.3010752688170673E-3</v>
      </c>
    </row>
    <row r="29" spans="1:27" ht="15.75" thickBot="1" x14ac:dyDescent="0.3">
      <c r="A29" s="201" t="s">
        <v>67</v>
      </c>
      <c r="B29" s="196">
        <v>57.46</v>
      </c>
      <c r="C29" s="196">
        <v>57.3</v>
      </c>
      <c r="D29" s="196">
        <v>57.94</v>
      </c>
      <c r="E29" s="196">
        <v>57.82</v>
      </c>
      <c r="F29" s="196">
        <v>58.34</v>
      </c>
      <c r="G29" s="196">
        <v>58.56</v>
      </c>
      <c r="H29" s="196"/>
      <c r="I29" s="7">
        <f t="shared" si="2"/>
        <v>1.1169284467713814E-2</v>
      </c>
      <c r="J29" s="7">
        <f t="shared" si="3"/>
        <v>-2.7845457709712029E-3</v>
      </c>
      <c r="K29" s="201" t="s">
        <v>67</v>
      </c>
      <c r="L29" s="197">
        <f t="shared" si="0"/>
        <v>3.8156112267680787E-3</v>
      </c>
      <c r="M29" s="7">
        <f t="shared" si="1"/>
        <v>-2.7845457709712029E-3</v>
      </c>
      <c r="N29" s="7">
        <f t="shared" si="1"/>
        <v>1.1169284467713814E-2</v>
      </c>
      <c r="O29" s="7">
        <f t="shared" si="1"/>
        <v>-2.0711080428028605E-3</v>
      </c>
      <c r="P29" s="7">
        <f t="shared" si="1"/>
        <v>8.9934278796264255E-3</v>
      </c>
      <c r="Q29" s="7">
        <f t="shared" si="1"/>
        <v>3.7709976002742174E-3</v>
      </c>
      <c r="S29" s="7">
        <v>2.0393811533051975E-2</v>
      </c>
      <c r="T29" s="7">
        <v>-9.7508718922166837E-3</v>
      </c>
      <c r="U29" s="201" t="s">
        <v>31</v>
      </c>
      <c r="V29" s="197">
        <v>1.8300924899757876E-3</v>
      </c>
      <c r="W29" s="7">
        <v>-9.7508718922166837E-3</v>
      </c>
      <c r="X29" s="7">
        <v>-5.3863680509967926E-3</v>
      </c>
      <c r="Y29" s="7">
        <v>1.3542409123307175E-2</v>
      </c>
      <c r="Z29" s="7">
        <v>2.0393811533051975E-2</v>
      </c>
      <c r="AA29" s="7">
        <v>-9.6485182632667366E-3</v>
      </c>
    </row>
    <row r="30" spans="1:27" ht="15.75" thickBot="1" x14ac:dyDescent="0.3">
      <c r="A30" s="201" t="s">
        <v>33</v>
      </c>
      <c r="B30" s="196">
        <v>357.93</v>
      </c>
      <c r="C30" s="196">
        <v>360.94</v>
      </c>
      <c r="D30" s="196">
        <v>363.3</v>
      </c>
      <c r="E30" s="196">
        <v>366</v>
      </c>
      <c r="F30" s="196">
        <v>368.69</v>
      </c>
      <c r="G30" s="196">
        <v>367.38</v>
      </c>
      <c r="H30" s="196"/>
      <c r="I30" s="7">
        <f t="shared" si="2"/>
        <v>8.4094655379542971E-3</v>
      </c>
      <c r="J30" s="7">
        <f t="shared" si="3"/>
        <v>-3.5531205077435901E-3</v>
      </c>
      <c r="K30" s="201" t="s">
        <v>33</v>
      </c>
      <c r="L30" s="197">
        <f t="shared" si="0"/>
        <v>5.2352858280799493E-3</v>
      </c>
      <c r="M30" s="7">
        <f t="shared" si="1"/>
        <v>8.4094655379542971E-3</v>
      </c>
      <c r="N30" s="7">
        <f t="shared" si="1"/>
        <v>6.5384828503352033E-3</v>
      </c>
      <c r="O30" s="7">
        <f t="shared" si="1"/>
        <v>7.4318744838974826E-3</v>
      </c>
      <c r="P30" s="7">
        <f t="shared" si="1"/>
        <v>7.3497267759563556E-3</v>
      </c>
      <c r="Q30" s="7">
        <f t="shared" si="1"/>
        <v>-3.5531205077435901E-3</v>
      </c>
      <c r="S30" s="7">
        <v>9.009009009008917E-3</v>
      </c>
      <c r="T30" s="7">
        <v>-8.9285714285713969E-3</v>
      </c>
      <c r="U30" s="201" t="s">
        <v>70</v>
      </c>
      <c r="V30" s="197">
        <v>1.8018018018017389E-3</v>
      </c>
      <c r="W30" s="7">
        <v>0</v>
      </c>
      <c r="X30" s="7">
        <v>-8.9285714285713969E-3</v>
      </c>
      <c r="Y30" s="7">
        <v>9.009009009008917E-3</v>
      </c>
      <c r="Z30" s="7">
        <v>8.9285714285711748E-3</v>
      </c>
      <c r="AA30" s="7">
        <v>0</v>
      </c>
    </row>
    <row r="31" spans="1:27" ht="15.75" thickBot="1" x14ac:dyDescent="0.3">
      <c r="A31" s="199" t="s">
        <v>28</v>
      </c>
      <c r="B31" s="196">
        <v>330.29</v>
      </c>
      <c r="C31" s="196">
        <v>332.73</v>
      </c>
      <c r="D31" s="196">
        <v>336.43</v>
      </c>
      <c r="E31" s="196">
        <v>336.31</v>
      </c>
      <c r="F31" s="196">
        <v>333.16</v>
      </c>
      <c r="G31" s="196">
        <v>330.34</v>
      </c>
      <c r="H31" s="196"/>
      <c r="I31" s="7">
        <f t="shared" si="2"/>
        <v>1.1120127430649385E-2</v>
      </c>
      <c r="J31" s="7">
        <f t="shared" si="3"/>
        <v>-9.3663584193154348E-3</v>
      </c>
      <c r="K31" s="199" t="s">
        <v>28</v>
      </c>
      <c r="L31" s="197">
        <f t="shared" si="0"/>
        <v>6.4025706755210804E-5</v>
      </c>
      <c r="M31" s="7">
        <f t="shared" si="1"/>
        <v>7.3874473947137531E-3</v>
      </c>
      <c r="N31" s="7">
        <f t="shared" si="1"/>
        <v>1.1120127430649385E-2</v>
      </c>
      <c r="O31" s="7">
        <f t="shared" si="1"/>
        <v>-3.5668638349728443E-4</v>
      </c>
      <c r="P31" s="7">
        <f t="shared" si="1"/>
        <v>-9.3663584193154348E-3</v>
      </c>
      <c r="Q31" s="7">
        <f t="shared" si="1"/>
        <v>-8.4644014887743646E-3</v>
      </c>
      <c r="S31" s="7">
        <v>9.4250706880303348E-3</v>
      </c>
      <c r="T31" s="7">
        <v>-1.9408502772643277E-2</v>
      </c>
      <c r="U31" s="199" t="s">
        <v>32</v>
      </c>
      <c r="V31" s="197">
        <v>1.749251172312749E-3</v>
      </c>
      <c r="W31" s="7">
        <v>8.4745762711866401E-3</v>
      </c>
      <c r="X31" s="7">
        <v>1.8674136321195078E-3</v>
      </c>
      <c r="Y31" s="7">
        <v>8.3876980428705394E-3</v>
      </c>
      <c r="Z31" s="7">
        <v>-1.9408502772643277E-2</v>
      </c>
      <c r="AA31" s="7">
        <v>9.4250706880303348E-3</v>
      </c>
    </row>
    <row r="32" spans="1:27" ht="15.75" thickBot="1" x14ac:dyDescent="0.3">
      <c r="A32" s="200" t="s">
        <v>44</v>
      </c>
      <c r="B32" s="196">
        <v>84.1</v>
      </c>
      <c r="C32" s="196">
        <v>89.2</v>
      </c>
      <c r="D32" s="196">
        <v>91.6</v>
      </c>
      <c r="E32" s="196">
        <v>91.1</v>
      </c>
      <c r="F32" s="196">
        <v>90.2</v>
      </c>
      <c r="G32" s="196">
        <v>91.5</v>
      </c>
      <c r="H32" s="196"/>
      <c r="I32" s="7">
        <f t="shared" si="2"/>
        <v>6.0642092746730158E-2</v>
      </c>
      <c r="J32" s="7">
        <f t="shared" si="3"/>
        <v>-9.8792535675081838E-3</v>
      </c>
      <c r="K32" s="200" t="s">
        <v>44</v>
      </c>
      <c r="L32" s="197">
        <f t="shared" si="0"/>
        <v>1.7324514068646567E-2</v>
      </c>
      <c r="M32" s="7">
        <f t="shared" si="1"/>
        <v>6.0642092746730158E-2</v>
      </c>
      <c r="N32" s="7">
        <f t="shared" si="1"/>
        <v>2.6905829596412412E-2</v>
      </c>
      <c r="O32" s="7">
        <f t="shared" si="1"/>
        <v>-5.4585152838427797E-3</v>
      </c>
      <c r="P32" s="7">
        <f t="shared" si="1"/>
        <v>-9.8792535675081838E-3</v>
      </c>
      <c r="Q32" s="7">
        <f t="shared" si="1"/>
        <v>1.4412416851441234E-2</v>
      </c>
      <c r="S32" s="7">
        <v>2.134978704816004E-2</v>
      </c>
      <c r="T32" s="7">
        <v>-1.4369517248802643E-2</v>
      </c>
      <c r="U32" s="201" t="s">
        <v>87</v>
      </c>
      <c r="V32" s="197">
        <v>1.3520439842492848E-3</v>
      </c>
      <c r="W32" s="7">
        <v>-5.4042369217466302E-4</v>
      </c>
      <c r="X32" s="7">
        <v>4.7042283983995681E-3</v>
      </c>
      <c r="Y32" s="7">
        <v>-1.4369517248802643E-2</v>
      </c>
      <c r="Z32" s="7">
        <v>2.134978704816004E-2</v>
      </c>
      <c r="AA32" s="7">
        <v>-4.3838545843358778E-3</v>
      </c>
    </row>
    <row r="33" spans="1:27" ht="15.75" thickBot="1" x14ac:dyDescent="0.3">
      <c r="A33" s="200" t="s">
        <v>90</v>
      </c>
      <c r="B33" s="196">
        <v>91.75</v>
      </c>
      <c r="C33" s="196">
        <v>92.3</v>
      </c>
      <c r="D33" s="196">
        <v>91.5</v>
      </c>
      <c r="E33" s="196">
        <v>89</v>
      </c>
      <c r="F33" s="196">
        <v>89.15</v>
      </c>
      <c r="G33" s="196">
        <v>92.6</v>
      </c>
      <c r="H33" s="196"/>
      <c r="I33" s="7">
        <f t="shared" si="2"/>
        <v>3.8698822209758621E-2</v>
      </c>
      <c r="J33" s="7">
        <f t="shared" si="3"/>
        <v>-2.732240437158473E-2</v>
      </c>
      <c r="K33" s="200" t="s">
        <v>90</v>
      </c>
      <c r="L33" s="197">
        <f t="shared" si="0"/>
        <v>2.0777945112482542E-3</v>
      </c>
      <c r="M33" s="7">
        <f t="shared" si="1"/>
        <v>5.9945504087193235E-3</v>
      </c>
      <c r="N33" s="7">
        <f t="shared" si="1"/>
        <v>-8.6673889490790357E-3</v>
      </c>
      <c r="O33" s="7">
        <f t="shared" si="1"/>
        <v>-2.732240437158473E-2</v>
      </c>
      <c r="P33" s="7">
        <f t="shared" si="1"/>
        <v>1.6853932584270925E-3</v>
      </c>
      <c r="Q33" s="7">
        <f t="shared" si="1"/>
        <v>3.8698822209758621E-2</v>
      </c>
      <c r="S33" s="7">
        <v>8.6773599789640166E-3</v>
      </c>
      <c r="T33" s="7">
        <v>-5.9958289885296834E-3</v>
      </c>
      <c r="U33" s="201" t="s">
        <v>50</v>
      </c>
      <c r="V33" s="197">
        <v>1.279144422705536E-3</v>
      </c>
      <c r="W33" s="7">
        <v>-1.847453153866474E-3</v>
      </c>
      <c r="X33" s="7">
        <v>6.8746694870438496E-3</v>
      </c>
      <c r="Y33" s="7">
        <v>-1.3130252100840289E-3</v>
      </c>
      <c r="Z33" s="7">
        <v>8.6773599789640166E-3</v>
      </c>
      <c r="AA33" s="7">
        <v>-5.9958289885296834E-3</v>
      </c>
    </row>
    <row r="34" spans="1:27" ht="15.75" thickBot="1" x14ac:dyDescent="0.3">
      <c r="A34" s="201" t="s">
        <v>56</v>
      </c>
      <c r="B34" s="196">
        <v>392</v>
      </c>
      <c r="C34" s="196">
        <v>398.25</v>
      </c>
      <c r="D34" s="196">
        <v>411.66</v>
      </c>
      <c r="E34" s="196">
        <v>415.39</v>
      </c>
      <c r="F34" s="196">
        <v>418.86</v>
      </c>
      <c r="G34" s="196">
        <v>425.9</v>
      </c>
      <c r="H34" s="196"/>
      <c r="I34" s="7">
        <f t="shared" si="2"/>
        <v>3.3672316384180778E-2</v>
      </c>
      <c r="J34" s="7">
        <f t="shared" si="3"/>
        <v>8.3535954163558301E-3</v>
      </c>
      <c r="K34" s="201" t="s">
        <v>56</v>
      </c>
      <c r="L34" s="197">
        <f t="shared" si="0"/>
        <v>1.6767638003747011E-2</v>
      </c>
      <c r="M34" s="7">
        <f t="shared" si="1"/>
        <v>1.5943877551020336E-2</v>
      </c>
      <c r="N34" s="7">
        <f t="shared" si="1"/>
        <v>3.3672316384180778E-2</v>
      </c>
      <c r="O34" s="7">
        <f t="shared" si="1"/>
        <v>9.0608754797647517E-3</v>
      </c>
      <c r="P34" s="7">
        <f t="shared" si="1"/>
        <v>8.3535954163558301E-3</v>
      </c>
      <c r="Q34" s="7">
        <f t="shared" si="1"/>
        <v>1.6807525187413352E-2</v>
      </c>
      <c r="S34" s="7">
        <v>1.4628397115917791E-2</v>
      </c>
      <c r="T34" s="7">
        <v>-1.1752647762213853E-2</v>
      </c>
      <c r="U34" s="199" t="s">
        <v>215</v>
      </c>
      <c r="V34" s="197">
        <v>1.2319404942337409E-3</v>
      </c>
      <c r="W34" s="7">
        <v>-1.4616830235956169E-3</v>
      </c>
      <c r="X34" s="7">
        <v>5.4370556252614222E-3</v>
      </c>
      <c r="Y34" s="7">
        <v>1.4628397115917791E-2</v>
      </c>
      <c r="Z34" s="7">
        <v>-1.1752647762213853E-2</v>
      </c>
      <c r="AA34" s="7">
        <v>-6.9141948420103905E-4</v>
      </c>
    </row>
    <row r="35" spans="1:27" ht="15.75" thickBot="1" x14ac:dyDescent="0.3">
      <c r="A35" s="201" t="s">
        <v>21</v>
      </c>
      <c r="B35" s="196">
        <v>19.5</v>
      </c>
      <c r="C35" s="196">
        <v>19.239999999999998</v>
      </c>
      <c r="D35" s="196">
        <v>19</v>
      </c>
      <c r="E35" s="196">
        <v>19.14</v>
      </c>
      <c r="F35" s="196">
        <v>19.12</v>
      </c>
      <c r="G35" s="196">
        <v>19.36</v>
      </c>
      <c r="H35" s="196"/>
      <c r="I35" s="7">
        <f t="shared" si="2"/>
        <v>1.2552301255229992E-2</v>
      </c>
      <c r="J35" s="7">
        <f t="shared" si="3"/>
        <v>-1.3333333333333419E-2</v>
      </c>
      <c r="K35" s="201" t="s">
        <v>21</v>
      </c>
      <c r="L35" s="197">
        <f t="shared" si="0"/>
        <v>-1.3863111157797815E-3</v>
      </c>
      <c r="M35" s="7">
        <f t="shared" ref="M35:Q66" si="4">+C35/B35-1</f>
        <v>-1.3333333333333419E-2</v>
      </c>
      <c r="N35" s="7">
        <f t="shared" si="4"/>
        <v>-1.2474012474012364E-2</v>
      </c>
      <c r="O35" s="7">
        <f t="shared" si="4"/>
        <v>7.3684210526316907E-3</v>
      </c>
      <c r="P35" s="7">
        <f t="shared" si="4"/>
        <v>-1.0449320794148065E-3</v>
      </c>
      <c r="Q35" s="7">
        <f t="shared" si="4"/>
        <v>1.2552301255229992E-2</v>
      </c>
      <c r="S35" s="7">
        <v>2.3364485981308469E-2</v>
      </c>
      <c r="T35" s="7">
        <v>-1.7583848909150102E-2</v>
      </c>
      <c r="U35" s="199" t="s">
        <v>71</v>
      </c>
      <c r="V35" s="197">
        <v>1.1973051335397501E-3</v>
      </c>
      <c r="W35" s="7">
        <v>-1.7583848909150102E-2</v>
      </c>
      <c r="X35" s="7">
        <v>-6.9605568445475496E-3</v>
      </c>
      <c r="Y35" s="7">
        <v>2.3364485981308469E-2</v>
      </c>
      <c r="Z35" s="7">
        <v>1.6307893020222064E-3</v>
      </c>
      <c r="AA35" s="7">
        <v>5.5356561380657254E-3</v>
      </c>
    </row>
    <row r="36" spans="1:27" ht="15.75" thickBot="1" x14ac:dyDescent="0.3">
      <c r="A36" s="201" t="s">
        <v>35</v>
      </c>
      <c r="B36" s="196">
        <v>207.86</v>
      </c>
      <c r="C36" s="196">
        <v>208.6</v>
      </c>
      <c r="D36" s="196">
        <v>210.28</v>
      </c>
      <c r="E36" s="196">
        <v>213.04</v>
      </c>
      <c r="F36" s="196">
        <v>215.02</v>
      </c>
      <c r="G36" s="196">
        <v>219.39</v>
      </c>
      <c r="H36" s="196"/>
      <c r="I36" s="7">
        <f t="shared" si="2"/>
        <v>2.0323690819458617E-2</v>
      </c>
      <c r="J36" s="7">
        <f t="shared" si="3"/>
        <v>3.5600885211199973E-3</v>
      </c>
      <c r="K36" s="201" t="s">
        <v>35</v>
      </c>
      <c r="L36" s="197">
        <f t="shared" si="0"/>
        <v>1.0871371314664247E-2</v>
      </c>
      <c r="M36" s="7">
        <f t="shared" si="4"/>
        <v>3.5600885211199973E-3</v>
      </c>
      <c r="N36" s="7">
        <f t="shared" si="4"/>
        <v>8.0536912751678624E-3</v>
      </c>
      <c r="O36" s="7">
        <f t="shared" si="4"/>
        <v>1.3125356667300636E-2</v>
      </c>
      <c r="P36" s="7">
        <f t="shared" si="4"/>
        <v>9.2940292902741195E-3</v>
      </c>
      <c r="Q36" s="7">
        <f t="shared" si="4"/>
        <v>2.0323690819458617E-2</v>
      </c>
      <c r="S36" s="7">
        <v>1.4162077104642012E-2</v>
      </c>
      <c r="T36" s="7">
        <v>-7.0312499999999334E-3</v>
      </c>
      <c r="U36" s="201" t="s">
        <v>29</v>
      </c>
      <c r="V36" s="197">
        <v>1.1722527269961481E-3</v>
      </c>
      <c r="W36" s="7">
        <v>-7.0312499999999334E-3</v>
      </c>
      <c r="X36" s="7">
        <v>1.4162077104642012E-2</v>
      </c>
      <c r="Y36" s="7">
        <v>-4.6547711404190117E-3</v>
      </c>
      <c r="Z36" s="7">
        <v>-1.5588464536242519E-3</v>
      </c>
      <c r="AA36" s="7">
        <v>4.9440541243819247E-3</v>
      </c>
    </row>
    <row r="37" spans="1:27" ht="15.75" thickBot="1" x14ac:dyDescent="0.3">
      <c r="A37" s="201" t="s">
        <v>75</v>
      </c>
      <c r="B37" s="196">
        <v>4.75</v>
      </c>
      <c r="C37" s="196">
        <v>4.75</v>
      </c>
      <c r="D37" s="196">
        <v>4.71</v>
      </c>
      <c r="E37" s="196">
        <v>4.6900000000000004</v>
      </c>
      <c r="F37" s="196">
        <v>4.74</v>
      </c>
      <c r="G37" s="196">
        <v>4.74</v>
      </c>
      <c r="H37" s="196"/>
      <c r="I37" s="7">
        <f t="shared" si="2"/>
        <v>1.0660980810234477E-2</v>
      </c>
      <c r="J37" s="7">
        <f t="shared" si="3"/>
        <v>-8.4210526315789958E-3</v>
      </c>
      <c r="K37" s="201" t="s">
        <v>75</v>
      </c>
      <c r="L37" s="197">
        <f t="shared" si="0"/>
        <v>-4.0127126448119554E-4</v>
      </c>
      <c r="M37" s="7">
        <f t="shared" si="4"/>
        <v>0</v>
      </c>
      <c r="N37" s="7">
        <f t="shared" si="4"/>
        <v>-8.4210526315789958E-3</v>
      </c>
      <c r="O37" s="7">
        <f t="shared" si="4"/>
        <v>-4.2462845010614592E-3</v>
      </c>
      <c r="P37" s="7">
        <f t="shared" si="4"/>
        <v>1.0660980810234477E-2</v>
      </c>
      <c r="Q37" s="7">
        <f t="shared" si="4"/>
        <v>0</v>
      </c>
      <c r="S37" s="7">
        <v>1.5308911973756167E-2</v>
      </c>
      <c r="T37" s="7">
        <v>-9.2041147807253587E-3</v>
      </c>
      <c r="U37" s="201" t="s">
        <v>26</v>
      </c>
      <c r="V37" s="197">
        <v>1.1198435317757659E-3</v>
      </c>
      <c r="W37" s="7">
        <v>-9.2041147807253587E-3</v>
      </c>
      <c r="X37" s="7">
        <v>-2.732240437158473E-3</v>
      </c>
      <c r="Y37" s="7">
        <v>7.1232876712328252E-3</v>
      </c>
      <c r="Z37" s="7">
        <v>-4.8966267682263309E-3</v>
      </c>
      <c r="AA37" s="7">
        <v>1.5308911973756167E-2</v>
      </c>
    </row>
    <row r="38" spans="1:27" ht="15.75" thickBot="1" x14ac:dyDescent="0.3">
      <c r="A38" s="201" t="s">
        <v>216</v>
      </c>
      <c r="B38" s="202">
        <v>17664.2</v>
      </c>
      <c r="C38" s="202">
        <v>17658.599999999999</v>
      </c>
      <c r="D38" s="202">
        <v>17687.099999999999</v>
      </c>
      <c r="E38" s="202">
        <v>17700</v>
      </c>
      <c r="F38" s="202">
        <v>17642.7</v>
      </c>
      <c r="G38" s="202">
        <v>17710.900000000001</v>
      </c>
      <c r="H38" s="196"/>
      <c r="I38" s="203">
        <f t="shared" si="2"/>
        <v>3.8656214751711104E-3</v>
      </c>
      <c r="J38" s="204">
        <f t="shared" si="3"/>
        <v>-3.2372881355932082E-3</v>
      </c>
      <c r="K38" s="205" t="s">
        <v>216</v>
      </c>
      <c r="L38" s="206">
        <f t="shared" si="0"/>
        <v>5.3091950796420036E-4</v>
      </c>
      <c r="M38" s="204">
        <f t="shared" si="4"/>
        <v>-3.1702539599876012E-4</v>
      </c>
      <c r="N38" s="204">
        <f t="shared" si="4"/>
        <v>1.6139444803098257E-3</v>
      </c>
      <c r="O38" s="204">
        <f t="shared" si="4"/>
        <v>7.293451159320341E-4</v>
      </c>
      <c r="P38" s="204">
        <f t="shared" si="4"/>
        <v>-3.2372881355932082E-3</v>
      </c>
      <c r="Q38" s="207">
        <f t="shared" si="4"/>
        <v>3.8656214751711104E-3</v>
      </c>
      <c r="S38" s="7">
        <v>2.1634615384615419E-2</v>
      </c>
      <c r="T38" s="7">
        <v>-1.187648456057E-2</v>
      </c>
      <c r="U38" s="201" t="s">
        <v>74</v>
      </c>
      <c r="V38" s="197">
        <v>1.007109565181108E-3</v>
      </c>
      <c r="W38" s="7">
        <v>-4.7281323877069736E-3</v>
      </c>
      <c r="X38" s="7">
        <v>-1.187648456057E-2</v>
      </c>
      <c r="Y38" s="7">
        <v>2.1634615384615419E-2</v>
      </c>
      <c r="Z38" s="7">
        <v>-2.3529411764705577E-3</v>
      </c>
      <c r="AA38" s="7">
        <v>2.3584905660376521E-3</v>
      </c>
    </row>
    <row r="39" spans="1:27" ht="15.75" thickBot="1" x14ac:dyDescent="0.3">
      <c r="A39" s="201" t="s">
        <v>26</v>
      </c>
      <c r="B39" s="196">
        <v>18.47</v>
      </c>
      <c r="C39" s="196">
        <v>18.3</v>
      </c>
      <c r="D39" s="196">
        <v>18.25</v>
      </c>
      <c r="E39" s="196">
        <v>18.38</v>
      </c>
      <c r="F39" s="196">
        <v>18.29</v>
      </c>
      <c r="G39" s="196">
        <v>18.57</v>
      </c>
      <c r="H39" s="196"/>
      <c r="I39" s="7">
        <f t="shared" si="2"/>
        <v>1.5308911973756167E-2</v>
      </c>
      <c r="J39" s="7">
        <f t="shared" si="3"/>
        <v>-9.2041147807253587E-3</v>
      </c>
      <c r="K39" s="201" t="s">
        <v>26</v>
      </c>
      <c r="L39" s="208">
        <f t="shared" si="0"/>
        <v>1.1198435317757659E-3</v>
      </c>
      <c r="M39" s="7">
        <f t="shared" si="4"/>
        <v>-9.2041147807253587E-3</v>
      </c>
      <c r="N39" s="7">
        <f t="shared" si="4"/>
        <v>-2.732240437158473E-3</v>
      </c>
      <c r="O39" s="7">
        <f t="shared" si="4"/>
        <v>7.1232876712328252E-3</v>
      </c>
      <c r="P39" s="7">
        <f t="shared" si="4"/>
        <v>-4.8966267682263309E-3</v>
      </c>
      <c r="Q39" s="7">
        <f t="shared" si="4"/>
        <v>1.5308911973756167E-2</v>
      </c>
      <c r="S39" s="7">
        <v>2.0657995409334218E-2</v>
      </c>
      <c r="T39" s="7">
        <v>-1.6332590942836012E-2</v>
      </c>
      <c r="U39" s="201" t="s">
        <v>39</v>
      </c>
      <c r="V39" s="197">
        <v>8.6340443823227362E-4</v>
      </c>
      <c r="W39" s="7">
        <v>-9.8484848484847731E-3</v>
      </c>
      <c r="X39" s="7">
        <v>2.0657995409334218E-2</v>
      </c>
      <c r="Y39" s="7">
        <v>-5.9970014992504206E-3</v>
      </c>
      <c r="Z39" s="7">
        <v>1.5837104072398356E-2</v>
      </c>
      <c r="AA39" s="7">
        <v>-1.6332590942836012E-2</v>
      </c>
    </row>
    <row r="40" spans="1:27" ht="15.75" thickBot="1" x14ac:dyDescent="0.3">
      <c r="A40" s="200" t="s">
        <v>41</v>
      </c>
      <c r="B40" s="196">
        <v>59.15</v>
      </c>
      <c r="C40" s="196">
        <v>58</v>
      </c>
      <c r="D40" s="196">
        <v>57.95</v>
      </c>
      <c r="E40" s="196">
        <v>57.45</v>
      </c>
      <c r="F40" s="196">
        <v>57.85</v>
      </c>
      <c r="G40" s="196">
        <v>58.25</v>
      </c>
      <c r="H40" s="196"/>
      <c r="I40" s="7">
        <f t="shared" si="2"/>
        <v>6.9625761531766361E-3</v>
      </c>
      <c r="J40" s="7">
        <f t="shared" si="3"/>
        <v>-1.9442096365173245E-2</v>
      </c>
      <c r="K40" s="200" t="s">
        <v>41</v>
      </c>
      <c r="L40" s="197">
        <f t="shared" si="0"/>
        <v>-3.0110565986155358E-3</v>
      </c>
      <c r="M40" s="7">
        <f t="shared" si="4"/>
        <v>-1.9442096365173245E-2</v>
      </c>
      <c r="N40" s="7">
        <f t="shared" si="4"/>
        <v>-8.6206896551721535E-4</v>
      </c>
      <c r="O40" s="7">
        <f t="shared" si="4"/>
        <v>-8.6281276962899556E-3</v>
      </c>
      <c r="P40" s="7">
        <f t="shared" si="4"/>
        <v>6.9625761531766361E-3</v>
      </c>
      <c r="Q40" s="7">
        <f t="shared" si="4"/>
        <v>6.9144338807261008E-3</v>
      </c>
      <c r="S40" s="7">
        <v>5.4644808743167239E-3</v>
      </c>
      <c r="T40" s="7">
        <v>-3.2679738562090277E-3</v>
      </c>
      <c r="U40" s="201" t="s">
        <v>69</v>
      </c>
      <c r="V40" s="197">
        <v>6.5979119571120122E-4</v>
      </c>
      <c r="W40" s="7">
        <v>-1.0905125408942062E-3</v>
      </c>
      <c r="X40" s="7">
        <v>-2.1834061135370675E-3</v>
      </c>
      <c r="Y40" s="7">
        <v>4.3763676148795838E-3</v>
      </c>
      <c r="Z40" s="7">
        <v>-3.2679738562090277E-3</v>
      </c>
      <c r="AA40" s="7">
        <v>5.4644808743167239E-3</v>
      </c>
    </row>
    <row r="41" spans="1:27" ht="15.75" thickBot="1" x14ac:dyDescent="0.3">
      <c r="A41" s="201" t="s">
        <v>70</v>
      </c>
      <c r="B41" s="196">
        <v>1.1200000000000001</v>
      </c>
      <c r="C41" s="196">
        <v>1.1200000000000001</v>
      </c>
      <c r="D41" s="196">
        <v>1.1100000000000001</v>
      </c>
      <c r="E41" s="196">
        <v>1.1200000000000001</v>
      </c>
      <c r="F41" s="196">
        <v>1.1299999999999999</v>
      </c>
      <c r="G41" s="196">
        <v>1.1299999999999999</v>
      </c>
      <c r="H41" s="196"/>
      <c r="I41" s="7">
        <f t="shared" si="2"/>
        <v>9.009009009008917E-3</v>
      </c>
      <c r="J41" s="7">
        <f t="shared" si="3"/>
        <v>-8.9285714285713969E-3</v>
      </c>
      <c r="K41" s="201" t="s">
        <v>70</v>
      </c>
      <c r="L41" s="197">
        <f t="shared" si="0"/>
        <v>1.8018018018017389E-3</v>
      </c>
      <c r="M41" s="7">
        <f t="shared" si="4"/>
        <v>0</v>
      </c>
      <c r="N41" s="7">
        <f t="shared" si="4"/>
        <v>-8.9285714285713969E-3</v>
      </c>
      <c r="O41" s="7">
        <f t="shared" si="4"/>
        <v>9.009009009008917E-3</v>
      </c>
      <c r="P41" s="7">
        <f t="shared" si="4"/>
        <v>8.9285714285711748E-3</v>
      </c>
      <c r="Q41" s="7">
        <f t="shared" si="4"/>
        <v>0</v>
      </c>
      <c r="S41" s="203">
        <v>3.8656214751711104E-3</v>
      </c>
      <c r="T41" s="204">
        <v>-3.2372881355932082E-3</v>
      </c>
      <c r="U41" s="205" t="s">
        <v>216</v>
      </c>
      <c r="V41" s="206">
        <v>5.3091950796420036E-4</v>
      </c>
      <c r="W41" s="204">
        <v>-3.1702539599876012E-4</v>
      </c>
      <c r="X41" s="204">
        <v>1.6139444803098257E-3</v>
      </c>
      <c r="Y41" s="204">
        <v>7.293451159320341E-4</v>
      </c>
      <c r="Z41" s="204">
        <v>-3.2372881355932082E-3</v>
      </c>
      <c r="AA41" s="207">
        <v>3.8656214751711104E-3</v>
      </c>
    </row>
    <row r="42" spans="1:27" ht="15.75" thickBot="1" x14ac:dyDescent="0.3">
      <c r="A42" s="201" t="s">
        <v>52</v>
      </c>
      <c r="B42" s="196">
        <v>59.4</v>
      </c>
      <c r="C42" s="196">
        <v>58.58</v>
      </c>
      <c r="D42" s="196">
        <v>58.84</v>
      </c>
      <c r="E42" s="196">
        <v>57.88</v>
      </c>
      <c r="F42" s="196">
        <v>58.1</v>
      </c>
      <c r="G42" s="196">
        <v>58.88</v>
      </c>
      <c r="H42" s="196"/>
      <c r="I42" s="7">
        <f t="shared" si="2"/>
        <v>1.3425129087779819E-2</v>
      </c>
      <c r="J42" s="7">
        <f t="shared" si="3"/>
        <v>-1.6315431679129855E-2</v>
      </c>
      <c r="K42" s="201" t="s">
        <v>52</v>
      </c>
      <c r="L42" s="197">
        <f t="shared" si="0"/>
        <v>-1.6911348010178128E-3</v>
      </c>
      <c r="M42" s="7">
        <f t="shared" si="4"/>
        <v>-1.380471380471382E-2</v>
      </c>
      <c r="N42" s="7">
        <f t="shared" si="4"/>
        <v>4.4383748719700744E-3</v>
      </c>
      <c r="O42" s="7">
        <f t="shared" si="4"/>
        <v>-1.6315431679129855E-2</v>
      </c>
      <c r="P42" s="7">
        <f t="shared" si="4"/>
        <v>3.8009675190047165E-3</v>
      </c>
      <c r="Q42" s="7">
        <f t="shared" si="4"/>
        <v>1.3425129087779819E-2</v>
      </c>
      <c r="S42" s="7">
        <v>1.1026878015161889E-2</v>
      </c>
      <c r="T42" s="7">
        <v>-2.953874119518296E-2</v>
      </c>
      <c r="U42" s="201" t="s">
        <v>24</v>
      </c>
      <c r="V42" s="208">
        <v>4.4039048080251052E-4</v>
      </c>
      <c r="W42" s="7">
        <v>5.5440055440056923E-3</v>
      </c>
      <c r="X42" s="7">
        <v>1.1026878015161889E-2</v>
      </c>
      <c r="Y42" s="7">
        <v>-2.953874119518296E-2</v>
      </c>
      <c r="Z42" s="7">
        <v>4.6827440880354843E-3</v>
      </c>
      <c r="AA42" s="7">
        <v>1.0487065951992447E-2</v>
      </c>
    </row>
    <row r="43" spans="1:27" ht="15.75" thickBot="1" x14ac:dyDescent="0.3">
      <c r="A43" s="201" t="s">
        <v>47</v>
      </c>
      <c r="B43" s="196">
        <v>339.09</v>
      </c>
      <c r="C43" s="196">
        <v>340.68</v>
      </c>
      <c r="D43" s="196">
        <v>341.24</v>
      </c>
      <c r="E43" s="196">
        <v>342.85</v>
      </c>
      <c r="F43" s="196">
        <v>340.42</v>
      </c>
      <c r="G43" s="196">
        <v>346.46</v>
      </c>
      <c r="H43" s="196"/>
      <c r="I43" s="7">
        <f t="shared" si="2"/>
        <v>1.7742788320310066E-2</v>
      </c>
      <c r="J43" s="7">
        <f t="shared" si="3"/>
        <v>-7.087647659326235E-3</v>
      </c>
      <c r="K43" s="201" t="s">
        <v>47</v>
      </c>
      <c r="L43" s="197">
        <f t="shared" si="0"/>
        <v>4.3412039065711117E-3</v>
      </c>
      <c r="M43" s="7">
        <f t="shared" si="4"/>
        <v>4.689020613996453E-3</v>
      </c>
      <c r="N43" s="7">
        <f t="shared" si="4"/>
        <v>1.6437712809673766E-3</v>
      </c>
      <c r="O43" s="7">
        <f t="shared" si="4"/>
        <v>4.7180869769078981E-3</v>
      </c>
      <c r="P43" s="7">
        <f t="shared" si="4"/>
        <v>-7.087647659326235E-3</v>
      </c>
      <c r="Q43" s="7">
        <f t="shared" si="4"/>
        <v>1.7742788320310066E-2</v>
      </c>
      <c r="S43" s="7">
        <v>9.7372488408036251E-3</v>
      </c>
      <c r="T43" s="7">
        <v>-1.7143731823052288E-2</v>
      </c>
      <c r="U43" s="199" t="s">
        <v>217</v>
      </c>
      <c r="V43" s="197">
        <v>2.2933711946666603E-4</v>
      </c>
      <c r="W43" s="7">
        <v>-4.6547711404187897E-4</v>
      </c>
      <c r="X43" s="7">
        <v>4.3464762496119302E-3</v>
      </c>
      <c r="Y43" s="7">
        <v>9.7372488408036251E-3</v>
      </c>
      <c r="Z43" s="7">
        <v>-1.7143731823052288E-2</v>
      </c>
      <c r="AA43" s="7">
        <v>4.6721694440119421E-3</v>
      </c>
    </row>
    <row r="44" spans="1:27" ht="15.75" thickBot="1" x14ac:dyDescent="0.3">
      <c r="A44" s="199" t="s">
        <v>218</v>
      </c>
      <c r="B44" s="196">
        <v>6121.95</v>
      </c>
      <c r="C44" s="196">
        <v>6082.7</v>
      </c>
      <c r="D44" s="196">
        <v>6082.7</v>
      </c>
      <c r="E44" s="196">
        <v>6071</v>
      </c>
      <c r="F44" s="196">
        <v>6071</v>
      </c>
      <c r="G44" s="196">
        <v>6105.05</v>
      </c>
      <c r="H44" s="196"/>
      <c r="I44" s="7">
        <f t="shared" si="2"/>
        <v>5.6086311974963277E-3</v>
      </c>
      <c r="J44" s="7">
        <f t="shared" si="3"/>
        <v>-6.4113558588357877E-3</v>
      </c>
      <c r="K44" s="199" t="s">
        <v>218</v>
      </c>
      <c r="L44" s="197">
        <f t="shared" si="0"/>
        <v>-5.4524251722194435E-4</v>
      </c>
      <c r="M44" s="7">
        <f t="shared" si="4"/>
        <v>-6.4113558588357877E-3</v>
      </c>
      <c r="N44" s="7">
        <f t="shared" si="4"/>
        <v>0</v>
      </c>
      <c r="O44" s="7">
        <f t="shared" si="4"/>
        <v>-1.9234879247702619E-3</v>
      </c>
      <c r="P44" s="7">
        <f t="shared" si="4"/>
        <v>0</v>
      </c>
      <c r="Q44" s="7">
        <f t="shared" si="4"/>
        <v>5.6086311974963277E-3</v>
      </c>
      <c r="S44" s="7">
        <v>1.1120127430649385E-2</v>
      </c>
      <c r="T44" s="7">
        <v>-9.3663584193154348E-3</v>
      </c>
      <c r="U44" s="199" t="s">
        <v>28</v>
      </c>
      <c r="V44" s="197">
        <v>6.4025706755210804E-5</v>
      </c>
      <c r="W44" s="7">
        <v>7.3874473947137531E-3</v>
      </c>
      <c r="X44" s="7">
        <v>1.1120127430649385E-2</v>
      </c>
      <c r="Y44" s="7">
        <v>-3.5668638349728443E-4</v>
      </c>
      <c r="Z44" s="7">
        <v>-9.3663584193154348E-3</v>
      </c>
      <c r="AA44" s="7">
        <v>-8.4644014887743646E-3</v>
      </c>
    </row>
    <row r="45" spans="1:27" ht="15.75" thickBot="1" x14ac:dyDescent="0.3">
      <c r="A45" s="199" t="s">
        <v>85</v>
      </c>
      <c r="B45" s="196">
        <v>1070.68</v>
      </c>
      <c r="C45" s="196">
        <v>1081</v>
      </c>
      <c r="D45" s="196">
        <v>1077.19</v>
      </c>
      <c r="E45" s="196">
        <v>1073.29</v>
      </c>
      <c r="F45" s="196">
        <v>1032.97</v>
      </c>
      <c r="G45" s="196">
        <v>1038.4000000000001</v>
      </c>
      <c r="H45" s="196"/>
      <c r="I45" s="7">
        <f t="shared" si="2"/>
        <v>9.6387342623378558E-3</v>
      </c>
      <c r="J45" s="7">
        <f t="shared" si="3"/>
        <v>-3.7566734060691886E-2</v>
      </c>
      <c r="K45" s="199" t="s">
        <v>85</v>
      </c>
      <c r="L45" s="197">
        <f t="shared" si="0"/>
        <v>-5.9632716610349855E-3</v>
      </c>
      <c r="M45" s="7">
        <f t="shared" si="4"/>
        <v>9.6387342623378558E-3</v>
      </c>
      <c r="N45" s="7">
        <f t="shared" si="4"/>
        <v>-3.5245143385753686E-3</v>
      </c>
      <c r="O45" s="7">
        <f t="shared" si="4"/>
        <v>-3.6205311969105258E-3</v>
      </c>
      <c r="P45" s="7">
        <f t="shared" si="4"/>
        <v>-3.7566734060691886E-2</v>
      </c>
      <c r="Q45" s="7">
        <f t="shared" si="4"/>
        <v>5.2566870286649969E-3</v>
      </c>
      <c r="S45" s="7">
        <v>1.0660980810234477E-2</v>
      </c>
      <c r="T45" s="7">
        <v>-8.4210526315789958E-3</v>
      </c>
      <c r="U45" s="201" t="s">
        <v>75</v>
      </c>
      <c r="V45" s="197">
        <v>-4.0127126448119554E-4</v>
      </c>
      <c r="W45" s="7">
        <v>0</v>
      </c>
      <c r="X45" s="7">
        <v>-8.4210526315789958E-3</v>
      </c>
      <c r="Y45" s="7">
        <v>-4.2462845010614592E-3</v>
      </c>
      <c r="Z45" s="7">
        <v>1.0660980810234477E-2</v>
      </c>
      <c r="AA45" s="7">
        <v>0</v>
      </c>
    </row>
    <row r="46" spans="1:27" ht="15.75" thickBot="1" x14ac:dyDescent="0.3">
      <c r="A46" s="201" t="s">
        <v>55</v>
      </c>
      <c r="B46" s="196">
        <v>541.51</v>
      </c>
      <c r="C46" s="196">
        <v>551.24</v>
      </c>
      <c r="D46" s="196">
        <v>558.29999999999995</v>
      </c>
      <c r="E46" s="196">
        <v>572.70000000000005</v>
      </c>
      <c r="F46" s="196">
        <v>577.89</v>
      </c>
      <c r="G46" s="196">
        <v>582.42999999999995</v>
      </c>
      <c r="H46" s="196"/>
      <c r="I46" s="7">
        <f t="shared" si="2"/>
        <v>2.5792584631918469E-2</v>
      </c>
      <c r="J46" s="7">
        <f t="shared" si="3"/>
        <v>7.8561663984495489E-3</v>
      </c>
      <c r="K46" s="201" t="s">
        <v>55</v>
      </c>
      <c r="L46" s="197">
        <f t="shared" si="0"/>
        <v>1.4697369960815321E-2</v>
      </c>
      <c r="M46" s="7">
        <f t="shared" si="4"/>
        <v>1.7968273900758946E-2</v>
      </c>
      <c r="N46" s="7">
        <f t="shared" si="4"/>
        <v>1.2807488571221048E-2</v>
      </c>
      <c r="O46" s="7">
        <f t="shared" si="4"/>
        <v>2.5792584631918469E-2</v>
      </c>
      <c r="P46" s="7">
        <f t="shared" si="4"/>
        <v>9.0623363017285907E-3</v>
      </c>
      <c r="Q46" s="7">
        <f t="shared" si="4"/>
        <v>7.8561663984495489E-3</v>
      </c>
      <c r="S46" s="7">
        <v>1.5228426395939021E-2</v>
      </c>
      <c r="T46" s="7">
        <v>-2.2332506203474045E-2</v>
      </c>
      <c r="U46" s="199" t="s">
        <v>22</v>
      </c>
      <c r="V46" s="197">
        <v>-4.0192427384957432E-4</v>
      </c>
      <c r="W46" s="7">
        <v>-2.2332506203474045E-2</v>
      </c>
      <c r="X46" s="7">
        <v>1.5228426395939021E-2</v>
      </c>
      <c r="Y46" s="7">
        <v>-7.4999999999999512E-3</v>
      </c>
      <c r="Z46" s="7">
        <v>0</v>
      </c>
      <c r="AA46" s="7">
        <v>1.2594458438287104E-2</v>
      </c>
    </row>
    <row r="47" spans="1:27" ht="15.75" thickBot="1" x14ac:dyDescent="0.3">
      <c r="A47" s="201" t="s">
        <v>74</v>
      </c>
      <c r="B47" s="196">
        <v>4.2300000000000004</v>
      </c>
      <c r="C47" s="196">
        <v>4.21</v>
      </c>
      <c r="D47" s="196">
        <v>4.16</v>
      </c>
      <c r="E47" s="196">
        <v>4.25</v>
      </c>
      <c r="F47" s="196">
        <v>4.24</v>
      </c>
      <c r="G47" s="196">
        <v>4.25</v>
      </c>
      <c r="H47" s="196"/>
      <c r="I47" s="7">
        <f t="shared" si="2"/>
        <v>2.1634615384615419E-2</v>
      </c>
      <c r="J47" s="7">
        <f t="shared" si="3"/>
        <v>-1.187648456057E-2</v>
      </c>
      <c r="K47" s="201" t="s">
        <v>74</v>
      </c>
      <c r="L47" s="197">
        <f t="shared" si="0"/>
        <v>1.007109565181108E-3</v>
      </c>
      <c r="M47" s="7">
        <f t="shared" si="4"/>
        <v>-4.7281323877069736E-3</v>
      </c>
      <c r="N47" s="7">
        <f t="shared" si="4"/>
        <v>-1.187648456057E-2</v>
      </c>
      <c r="O47" s="7">
        <f t="shared" si="4"/>
        <v>2.1634615384615419E-2</v>
      </c>
      <c r="P47" s="7">
        <f t="shared" si="4"/>
        <v>-2.3529411764705577E-3</v>
      </c>
      <c r="Q47" s="7">
        <f t="shared" si="4"/>
        <v>2.3584905660376521E-3</v>
      </c>
      <c r="S47" s="7">
        <v>5.6086311974963277E-3</v>
      </c>
      <c r="T47" s="7">
        <v>-6.4113558588357877E-3</v>
      </c>
      <c r="U47" s="199" t="s">
        <v>218</v>
      </c>
      <c r="V47" s="197">
        <v>-5.4524251722194435E-4</v>
      </c>
      <c r="W47" s="7">
        <v>-6.4113558588357877E-3</v>
      </c>
      <c r="X47" s="7">
        <v>0</v>
      </c>
      <c r="Y47" s="7">
        <v>-1.9234879247702619E-3</v>
      </c>
      <c r="Z47" s="7">
        <v>0</v>
      </c>
      <c r="AA47" s="7">
        <v>5.6086311974963277E-3</v>
      </c>
    </row>
    <row r="48" spans="1:27" ht="15.75" thickBot="1" x14ac:dyDescent="0.3">
      <c r="A48" s="201" t="s">
        <v>72</v>
      </c>
      <c r="B48" s="196">
        <v>7.97</v>
      </c>
      <c r="C48" s="196">
        <v>7.87</v>
      </c>
      <c r="D48" s="196">
        <v>7.91</v>
      </c>
      <c r="E48" s="196">
        <v>7.78</v>
      </c>
      <c r="F48" s="196">
        <v>7.73</v>
      </c>
      <c r="G48" s="196">
        <v>7.78</v>
      </c>
      <c r="H48" s="196"/>
      <c r="I48" s="7">
        <f t="shared" si="2"/>
        <v>6.4683053040104355E-3</v>
      </c>
      <c r="J48" s="7">
        <f t="shared" si="3"/>
        <v>-1.6434892541087209E-2</v>
      </c>
      <c r="K48" s="201" t="s">
        <v>72</v>
      </c>
      <c r="L48" s="197">
        <f t="shared" si="0"/>
        <v>-4.7715563553029083E-3</v>
      </c>
      <c r="M48" s="7">
        <f t="shared" si="4"/>
        <v>-1.2547051442910906E-2</v>
      </c>
      <c r="N48" s="7">
        <f t="shared" si="4"/>
        <v>5.0825921219821435E-3</v>
      </c>
      <c r="O48" s="7">
        <f t="shared" si="4"/>
        <v>-1.6434892541087209E-2</v>
      </c>
      <c r="P48" s="7">
        <f t="shared" si="4"/>
        <v>-6.4267352185090054E-3</v>
      </c>
      <c r="Q48" s="7">
        <f t="shared" si="4"/>
        <v>6.4683053040104355E-3</v>
      </c>
      <c r="S48" s="7">
        <v>1.982378854625555E-2</v>
      </c>
      <c r="T48" s="7">
        <v>-1.423877327491796E-2</v>
      </c>
      <c r="U48" s="201" t="s">
        <v>20</v>
      </c>
      <c r="V48" s="197">
        <v>-8.136522785121336E-4</v>
      </c>
      <c r="W48" s="7">
        <v>4.4247787610620648E-3</v>
      </c>
      <c r="X48" s="7">
        <v>1.982378854625555E-2</v>
      </c>
      <c r="Y48" s="7">
        <v>-1.025917926565878E-2</v>
      </c>
      <c r="Z48" s="7">
        <v>-3.818876159301543E-3</v>
      </c>
      <c r="AA48" s="7">
        <v>-1.423877327491796E-2</v>
      </c>
    </row>
    <row r="49" spans="1:27" ht="15.75" thickBot="1" x14ac:dyDescent="0.3">
      <c r="A49" s="201" t="s">
        <v>83</v>
      </c>
      <c r="B49" s="196">
        <v>647.6</v>
      </c>
      <c r="C49" s="196">
        <v>641.97</v>
      </c>
      <c r="D49" s="196">
        <v>631.09</v>
      </c>
      <c r="E49" s="196">
        <v>615.52</v>
      </c>
      <c r="F49" s="196">
        <v>620.79999999999995</v>
      </c>
      <c r="G49" s="196">
        <v>620.25</v>
      </c>
      <c r="H49" s="196"/>
      <c r="I49" s="7">
        <f t="shared" si="2"/>
        <v>8.5781128151805053E-3</v>
      </c>
      <c r="J49" s="7">
        <f t="shared" si="3"/>
        <v>-2.4671599930279453E-2</v>
      </c>
      <c r="K49" s="201" t="s">
        <v>83</v>
      </c>
      <c r="L49" s="197">
        <f t="shared" si="0"/>
        <v>-8.5241822449508182E-3</v>
      </c>
      <c r="M49" s="7">
        <f t="shared" si="4"/>
        <v>-8.6936380481779096E-3</v>
      </c>
      <c r="N49" s="7">
        <f t="shared" si="4"/>
        <v>-1.6947832453229839E-2</v>
      </c>
      <c r="O49" s="7">
        <f t="shared" si="4"/>
        <v>-2.4671599930279453E-2</v>
      </c>
      <c r="P49" s="7">
        <f t="shared" si="4"/>
        <v>8.5781128151805053E-3</v>
      </c>
      <c r="Q49" s="7">
        <f t="shared" si="4"/>
        <v>-8.8595360824739178E-4</v>
      </c>
      <c r="S49" s="7">
        <v>2.7078427821046969E-2</v>
      </c>
      <c r="T49" s="7">
        <v>-2.1903659513845652E-2</v>
      </c>
      <c r="U49" s="201" t="s">
        <v>46</v>
      </c>
      <c r="V49" s="197">
        <v>-9.0610518233393835E-4</v>
      </c>
      <c r="W49" s="7">
        <v>1.0525392509428411E-3</v>
      </c>
      <c r="X49" s="7">
        <v>-1.5946727416104367E-2</v>
      </c>
      <c r="Y49" s="7">
        <v>-2.1903659513845652E-2</v>
      </c>
      <c r="Z49" s="7">
        <v>5.1888939462905181E-3</v>
      </c>
      <c r="AA49" s="7">
        <v>2.7078427821046969E-2</v>
      </c>
    </row>
    <row r="50" spans="1:27" ht="15.75" thickBot="1" x14ac:dyDescent="0.3">
      <c r="A50" s="201" t="s">
        <v>16</v>
      </c>
      <c r="B50" s="196">
        <v>96.79</v>
      </c>
      <c r="C50" s="196">
        <v>96.79</v>
      </c>
      <c r="D50" s="196">
        <v>96.79</v>
      </c>
      <c r="E50" s="196">
        <v>96.48</v>
      </c>
      <c r="F50" s="196">
        <v>97.12</v>
      </c>
      <c r="G50" s="196">
        <v>96.02</v>
      </c>
      <c r="H50" s="196"/>
      <c r="I50" s="7">
        <f t="shared" si="2"/>
        <v>6.6334991708125735E-3</v>
      </c>
      <c r="J50" s="7">
        <f t="shared" si="3"/>
        <v>-1.1326194398682099E-2</v>
      </c>
      <c r="K50" s="201" t="s">
        <v>16</v>
      </c>
      <c r="L50" s="197">
        <f t="shared" si="0"/>
        <v>-1.5791010871071265E-3</v>
      </c>
      <c r="M50" s="7">
        <f t="shared" si="4"/>
        <v>0</v>
      </c>
      <c r="N50" s="7">
        <f t="shared" si="4"/>
        <v>0</v>
      </c>
      <c r="O50" s="7">
        <f t="shared" si="4"/>
        <v>-3.2028102076661069E-3</v>
      </c>
      <c r="P50" s="7">
        <f t="shared" si="4"/>
        <v>6.6334991708125735E-3</v>
      </c>
      <c r="Q50" s="7">
        <f t="shared" si="4"/>
        <v>-1.1326194398682099E-2</v>
      </c>
      <c r="S50" s="7">
        <v>1.2552301255229992E-2</v>
      </c>
      <c r="T50" s="7">
        <v>-1.3333333333333419E-2</v>
      </c>
      <c r="U50" s="201" t="s">
        <v>21</v>
      </c>
      <c r="V50" s="197">
        <v>-1.3863111157797815E-3</v>
      </c>
      <c r="W50" s="7">
        <v>-1.3333333333333419E-2</v>
      </c>
      <c r="X50" s="7">
        <v>-1.2474012474012364E-2</v>
      </c>
      <c r="Y50" s="7">
        <v>7.3684210526316907E-3</v>
      </c>
      <c r="Z50" s="7">
        <v>-1.0449320794148065E-3</v>
      </c>
      <c r="AA50" s="7">
        <v>1.2552301255229992E-2</v>
      </c>
    </row>
    <row r="51" spans="1:27" ht="15.75" thickBot="1" x14ac:dyDescent="0.3">
      <c r="A51" s="201" t="s">
        <v>80</v>
      </c>
      <c r="B51" s="196">
        <v>12.62</v>
      </c>
      <c r="C51" s="196">
        <v>12.45</v>
      </c>
      <c r="D51" s="196">
        <v>12.41</v>
      </c>
      <c r="E51" s="196">
        <v>12.44</v>
      </c>
      <c r="F51" s="196">
        <v>12.39</v>
      </c>
      <c r="G51" s="196">
        <v>12.49</v>
      </c>
      <c r="H51" s="196"/>
      <c r="I51" s="7">
        <f t="shared" si="2"/>
        <v>8.0710250201774247E-3</v>
      </c>
      <c r="J51" s="7">
        <f t="shared" si="3"/>
        <v>-1.347068145800312E-2</v>
      </c>
      <c r="K51" s="201" t="s">
        <v>80</v>
      </c>
      <c r="L51" s="197">
        <f t="shared" si="0"/>
        <v>-2.0428790259315877E-3</v>
      </c>
      <c r="M51" s="7">
        <f t="shared" si="4"/>
        <v>-1.347068145800312E-2</v>
      </c>
      <c r="N51" s="7">
        <f t="shared" si="4"/>
        <v>-3.2128514056224411E-3</v>
      </c>
      <c r="O51" s="7">
        <f t="shared" si="4"/>
        <v>2.4174053182917099E-3</v>
      </c>
      <c r="P51" s="7">
        <f t="shared" si="4"/>
        <v>-4.019292604501512E-3</v>
      </c>
      <c r="Q51" s="7">
        <f t="shared" si="4"/>
        <v>8.0710250201774247E-3</v>
      </c>
      <c r="S51" s="7">
        <v>4.8971596474045587E-3</v>
      </c>
      <c r="T51" s="7">
        <v>-1.409820126397654E-2</v>
      </c>
      <c r="U51" s="199" t="s">
        <v>76</v>
      </c>
      <c r="V51" s="197">
        <v>-1.4507741406968311E-3</v>
      </c>
      <c r="W51" s="7">
        <v>-4.8947626040152237E-4</v>
      </c>
      <c r="X51" s="7">
        <v>0</v>
      </c>
      <c r="Y51" s="7">
        <v>4.8971596474045587E-3</v>
      </c>
      <c r="Z51" s="7">
        <v>2.436647173489348E-3</v>
      </c>
      <c r="AA51" s="7">
        <v>-1.409820126397654E-2</v>
      </c>
    </row>
    <row r="52" spans="1:27" ht="15.75" thickBot="1" x14ac:dyDescent="0.3">
      <c r="A52" s="199" t="s">
        <v>13</v>
      </c>
      <c r="B52" s="196">
        <v>478.92</v>
      </c>
      <c r="C52" s="196">
        <v>477.18</v>
      </c>
      <c r="D52" s="196">
        <v>470.67</v>
      </c>
      <c r="E52" s="196">
        <v>459.38</v>
      </c>
      <c r="F52" s="196">
        <v>456.66</v>
      </c>
      <c r="G52" s="196">
        <v>459.86</v>
      </c>
      <c r="H52" s="196"/>
      <c r="I52" s="7">
        <f t="shared" si="2"/>
        <v>7.0074015679060242E-3</v>
      </c>
      <c r="J52" s="7">
        <f t="shared" si="3"/>
        <v>-2.3987082244460112E-2</v>
      </c>
      <c r="K52" s="199" t="s">
        <v>13</v>
      </c>
      <c r="L52" s="197">
        <f t="shared" si="0"/>
        <v>-8.0353059760932769E-3</v>
      </c>
      <c r="M52" s="7">
        <f t="shared" si="4"/>
        <v>-3.6331746429466572E-3</v>
      </c>
      <c r="N52" s="7">
        <f t="shared" si="4"/>
        <v>-1.3642650572111115E-2</v>
      </c>
      <c r="O52" s="7">
        <f t="shared" si="4"/>
        <v>-2.3987082244460112E-2</v>
      </c>
      <c r="P52" s="7">
        <f t="shared" si="4"/>
        <v>-5.9210239888545235E-3</v>
      </c>
      <c r="Q52" s="7">
        <f t="shared" si="4"/>
        <v>7.0074015679060242E-3</v>
      </c>
      <c r="S52" s="7">
        <v>9.8193244304791705E-3</v>
      </c>
      <c r="T52" s="7">
        <v>-2.5670498084291227E-2</v>
      </c>
      <c r="U52" s="201" t="s">
        <v>40</v>
      </c>
      <c r="V52" s="197">
        <v>-1.4693410519246886E-3</v>
      </c>
      <c r="W52" s="7">
        <v>1.4048629872636109E-3</v>
      </c>
      <c r="X52" s="7">
        <v>5.9198964018130074E-3</v>
      </c>
      <c r="Y52" s="7">
        <v>-2.5670498084291227E-2</v>
      </c>
      <c r="Z52" s="7">
        <v>1.1797090051119952E-3</v>
      </c>
      <c r="AA52" s="7">
        <v>9.8193244304791705E-3</v>
      </c>
    </row>
    <row r="53" spans="1:27" ht="15.75" thickBot="1" x14ac:dyDescent="0.3">
      <c r="A53" s="201" t="s">
        <v>38</v>
      </c>
      <c r="B53" s="196">
        <v>48.08</v>
      </c>
      <c r="C53" s="196">
        <v>47.85</v>
      </c>
      <c r="D53" s="196">
        <v>48.08</v>
      </c>
      <c r="E53" s="196">
        <v>49.04</v>
      </c>
      <c r="F53" s="196">
        <v>48.41</v>
      </c>
      <c r="G53" s="196">
        <v>48.73</v>
      </c>
      <c r="H53" s="196"/>
      <c r="I53" s="7">
        <f t="shared" si="2"/>
        <v>1.9966722129783676E-2</v>
      </c>
      <c r="J53" s="7">
        <f t="shared" si="3"/>
        <v>-1.2846655791190931E-2</v>
      </c>
      <c r="K53" s="201" t="s">
        <v>38</v>
      </c>
      <c r="L53" s="197">
        <f t="shared" si="0"/>
        <v>2.7506529127017789E-3</v>
      </c>
      <c r="M53" s="7">
        <f t="shared" si="4"/>
        <v>-4.7836938435938947E-3</v>
      </c>
      <c r="N53" s="7">
        <f t="shared" si="4"/>
        <v>4.8066875653081098E-3</v>
      </c>
      <c r="O53" s="7">
        <f t="shared" si="4"/>
        <v>1.9966722129783676E-2</v>
      </c>
      <c r="P53" s="7">
        <f t="shared" si="4"/>
        <v>-1.2846655791190931E-2</v>
      </c>
      <c r="Q53" s="7">
        <f t="shared" si="4"/>
        <v>6.610204503201933E-3</v>
      </c>
      <c r="S53" s="7">
        <v>6.6334991708125735E-3</v>
      </c>
      <c r="T53" s="7">
        <v>-1.1326194398682099E-2</v>
      </c>
      <c r="U53" s="199" t="s">
        <v>16</v>
      </c>
      <c r="V53" s="197">
        <v>-1.5791010871071265E-3</v>
      </c>
      <c r="W53" s="7">
        <v>0</v>
      </c>
      <c r="X53" s="7">
        <v>0</v>
      </c>
      <c r="Y53" s="7">
        <v>-3.2028102076661069E-3</v>
      </c>
      <c r="Z53" s="7">
        <v>6.6334991708125735E-3</v>
      </c>
      <c r="AA53" s="7">
        <v>-1.1326194398682099E-2</v>
      </c>
    </row>
    <row r="54" spans="1:27" ht="15.75" thickBot="1" x14ac:dyDescent="0.3">
      <c r="A54" s="201" t="s">
        <v>29</v>
      </c>
      <c r="B54" s="196">
        <v>384</v>
      </c>
      <c r="C54" s="196">
        <v>381.3</v>
      </c>
      <c r="D54" s="196">
        <v>386.7</v>
      </c>
      <c r="E54" s="196">
        <v>384.9</v>
      </c>
      <c r="F54" s="196">
        <v>384.3</v>
      </c>
      <c r="G54" s="196">
        <v>386.2</v>
      </c>
      <c r="H54" s="196"/>
      <c r="I54" s="7">
        <f t="shared" si="2"/>
        <v>1.4162077104642012E-2</v>
      </c>
      <c r="J54" s="7">
        <f t="shared" si="3"/>
        <v>-7.0312499999999334E-3</v>
      </c>
      <c r="K54" s="201" t="s">
        <v>29</v>
      </c>
      <c r="L54" s="197">
        <f t="shared" si="0"/>
        <v>1.1722527269961481E-3</v>
      </c>
      <c r="M54" s="7">
        <f t="shared" si="4"/>
        <v>-7.0312499999999334E-3</v>
      </c>
      <c r="N54" s="7">
        <f t="shared" si="4"/>
        <v>1.4162077104642012E-2</v>
      </c>
      <c r="O54" s="7">
        <f t="shared" si="4"/>
        <v>-4.6547711404190117E-3</v>
      </c>
      <c r="P54" s="7">
        <f t="shared" si="4"/>
        <v>-1.5588464536242519E-3</v>
      </c>
      <c r="Q54" s="7">
        <f t="shared" si="4"/>
        <v>4.9440541243819247E-3</v>
      </c>
      <c r="S54" s="7">
        <v>1.3425129087779819E-2</v>
      </c>
      <c r="T54" s="7">
        <v>-1.6315431679129855E-2</v>
      </c>
      <c r="U54" s="201" t="s">
        <v>52</v>
      </c>
      <c r="V54" s="197">
        <v>-1.6911348010178128E-3</v>
      </c>
      <c r="W54" s="7">
        <v>-1.380471380471382E-2</v>
      </c>
      <c r="X54" s="7">
        <v>4.4383748719700744E-3</v>
      </c>
      <c r="Y54" s="7">
        <v>-1.6315431679129855E-2</v>
      </c>
      <c r="Z54" s="7">
        <v>3.8009675190047165E-3</v>
      </c>
      <c r="AA54" s="7">
        <v>1.3425129087779819E-2</v>
      </c>
    </row>
    <row r="55" spans="1:27" ht="15.75" thickBot="1" x14ac:dyDescent="0.3">
      <c r="A55" s="201" t="s">
        <v>43</v>
      </c>
      <c r="B55" s="196">
        <v>630.1</v>
      </c>
      <c r="C55" s="196">
        <v>629.32000000000005</v>
      </c>
      <c r="D55" s="196">
        <v>625.5</v>
      </c>
      <c r="E55" s="196">
        <v>653.14</v>
      </c>
      <c r="F55" s="196">
        <v>654.61</v>
      </c>
      <c r="G55" s="196">
        <v>666.9</v>
      </c>
      <c r="H55" s="196"/>
      <c r="I55" s="7">
        <f t="shared" si="2"/>
        <v>4.4188649080735498E-2</v>
      </c>
      <c r="J55" s="7">
        <f t="shared" si="3"/>
        <v>-6.0700438568614956E-3</v>
      </c>
      <c r="K55" s="201" t="s">
        <v>43</v>
      </c>
      <c r="L55" s="197">
        <f t="shared" si="0"/>
        <v>1.158118200038798E-2</v>
      </c>
      <c r="M55" s="7">
        <f t="shared" si="4"/>
        <v>-1.2378987462307034E-3</v>
      </c>
      <c r="N55" s="7">
        <f t="shared" si="4"/>
        <v>-6.0700438568614956E-3</v>
      </c>
      <c r="O55" s="7">
        <f t="shared" si="4"/>
        <v>4.4188649080735498E-2</v>
      </c>
      <c r="P55" s="7">
        <f t="shared" si="4"/>
        <v>2.2506660134122836E-3</v>
      </c>
      <c r="Q55" s="7">
        <f t="shared" si="4"/>
        <v>1.8774537510884315E-2</v>
      </c>
      <c r="S55" s="7">
        <v>1.944837340876937E-2</v>
      </c>
      <c r="T55" s="7">
        <v>-1.5955601803676611E-2</v>
      </c>
      <c r="U55" s="199" t="s">
        <v>219</v>
      </c>
      <c r="V55" s="197">
        <v>-1.77395982371642E-3</v>
      </c>
      <c r="W55" s="7">
        <v>-2.2640195053988954E-3</v>
      </c>
      <c r="X55" s="7">
        <v>-1.2742188863675952E-2</v>
      </c>
      <c r="Y55" s="7">
        <v>1.944837340876937E-2</v>
      </c>
      <c r="Z55" s="7">
        <v>-1.5955601803676611E-2</v>
      </c>
      <c r="AA55" s="7">
        <v>2.6436376453999877E-3</v>
      </c>
    </row>
    <row r="56" spans="1:27" ht="15.75" thickBot="1" x14ac:dyDescent="0.3">
      <c r="A56" s="199" t="s">
        <v>220</v>
      </c>
      <c r="B56" s="196">
        <v>142.96</v>
      </c>
      <c r="C56" s="196">
        <v>142.63999999999999</v>
      </c>
      <c r="D56" s="196">
        <v>138.19</v>
      </c>
      <c r="E56" s="196">
        <v>134.61000000000001</v>
      </c>
      <c r="F56" s="196">
        <v>131.16999999999999</v>
      </c>
      <c r="G56" s="196">
        <v>127.31</v>
      </c>
      <c r="H56" s="196"/>
      <c r="I56" s="7">
        <f t="shared" si="2"/>
        <v>-2.2383883603807053E-3</v>
      </c>
      <c r="J56" s="7">
        <f t="shared" si="3"/>
        <v>-3.1197420078519222E-2</v>
      </c>
      <c r="K56" s="199" t="s">
        <v>220</v>
      </c>
      <c r="L56" s="197">
        <f t="shared" si="0"/>
        <v>-2.2864987544093541E-2</v>
      </c>
      <c r="M56" s="7">
        <f t="shared" si="4"/>
        <v>-2.2383883603807053E-3</v>
      </c>
      <c r="N56" s="7">
        <f t="shared" si="4"/>
        <v>-3.1197420078519222E-2</v>
      </c>
      <c r="O56" s="7">
        <f t="shared" si="4"/>
        <v>-2.5906360807583684E-2</v>
      </c>
      <c r="P56" s="7">
        <f t="shared" si="4"/>
        <v>-2.5555307926602988E-2</v>
      </c>
      <c r="Q56" s="7">
        <f t="shared" si="4"/>
        <v>-2.9427460547381101E-2</v>
      </c>
      <c r="S56" s="7">
        <v>4.0355423917067812E-2</v>
      </c>
      <c r="T56" s="7">
        <v>-3.5357142857142754E-2</v>
      </c>
      <c r="U56" s="199" t="s">
        <v>58</v>
      </c>
      <c r="V56" s="197">
        <v>-1.7927250970694475E-3</v>
      </c>
      <c r="W56" s="7">
        <v>-2.0070422535211296E-2</v>
      </c>
      <c r="X56" s="7">
        <v>6.1085159899390007E-3</v>
      </c>
      <c r="Y56" s="7">
        <v>-3.5357142857142754E-2</v>
      </c>
      <c r="Z56" s="7">
        <v>0</v>
      </c>
      <c r="AA56" s="7">
        <v>4.0355423917067812E-2</v>
      </c>
    </row>
    <row r="57" spans="1:27" ht="15.75" thickBot="1" x14ac:dyDescent="0.3">
      <c r="A57" s="201" t="s">
        <v>19</v>
      </c>
      <c r="B57" s="196">
        <v>25.4</v>
      </c>
      <c r="C57" s="196">
        <v>25.18</v>
      </c>
      <c r="D57" s="196">
        <v>25.36</v>
      </c>
      <c r="E57" s="196">
        <v>26</v>
      </c>
      <c r="F57" s="196">
        <v>26.04</v>
      </c>
      <c r="G57" s="196">
        <v>25.7</v>
      </c>
      <c r="H57" s="196"/>
      <c r="I57" s="7">
        <f t="shared" si="2"/>
        <v>2.5236593059936974E-2</v>
      </c>
      <c r="J57" s="7">
        <f t="shared" si="3"/>
        <v>-1.3056835637480835E-2</v>
      </c>
      <c r="K57" s="201" t="s">
        <v>19</v>
      </c>
      <c r="L57" s="197">
        <f t="shared" si="0"/>
        <v>2.4410664435816631E-3</v>
      </c>
      <c r="M57" s="7">
        <f t="shared" si="4"/>
        <v>-8.6614173228346525E-3</v>
      </c>
      <c r="N57" s="7">
        <f t="shared" si="4"/>
        <v>7.1485305798253407E-3</v>
      </c>
      <c r="O57" s="7">
        <f t="shared" si="4"/>
        <v>2.5236593059936974E-2</v>
      </c>
      <c r="P57" s="7">
        <f t="shared" si="4"/>
        <v>1.5384615384614886E-3</v>
      </c>
      <c r="Q57" s="7">
        <f t="shared" si="4"/>
        <v>-1.3056835637480835E-2</v>
      </c>
      <c r="S57" s="7">
        <v>8.0710250201774247E-3</v>
      </c>
      <c r="T57" s="7">
        <v>-1.347068145800312E-2</v>
      </c>
      <c r="U57" s="201" t="s">
        <v>80</v>
      </c>
      <c r="V57" s="197">
        <v>-2.0428790259315877E-3</v>
      </c>
      <c r="W57" s="7">
        <v>-1.347068145800312E-2</v>
      </c>
      <c r="X57" s="7">
        <v>-3.2128514056224411E-3</v>
      </c>
      <c r="Y57" s="7">
        <v>2.4174053182917099E-3</v>
      </c>
      <c r="Z57" s="7">
        <v>-4.019292604501512E-3</v>
      </c>
      <c r="AA57" s="7">
        <v>8.0710250201774247E-3</v>
      </c>
    </row>
    <row r="58" spans="1:27" ht="15.75" thickBot="1" x14ac:dyDescent="0.3">
      <c r="A58" s="199" t="s">
        <v>87</v>
      </c>
      <c r="B58" s="196">
        <v>185.04</v>
      </c>
      <c r="C58" s="196">
        <v>184.94</v>
      </c>
      <c r="D58" s="196">
        <v>185.81</v>
      </c>
      <c r="E58" s="196">
        <v>183.14</v>
      </c>
      <c r="F58" s="196">
        <v>187.05</v>
      </c>
      <c r="G58" s="196">
        <v>186.23</v>
      </c>
      <c r="H58" s="196"/>
      <c r="I58" s="7">
        <f t="shared" si="2"/>
        <v>2.134978704816004E-2</v>
      </c>
      <c r="J58" s="7">
        <f t="shared" si="3"/>
        <v>-1.4369517248802643E-2</v>
      </c>
      <c r="K58" s="199" t="s">
        <v>87</v>
      </c>
      <c r="L58" s="197">
        <f t="shared" si="0"/>
        <v>1.3520439842492848E-3</v>
      </c>
      <c r="M58" s="7">
        <f t="shared" si="4"/>
        <v>-5.4042369217466302E-4</v>
      </c>
      <c r="N58" s="7">
        <f t="shared" si="4"/>
        <v>4.7042283983995681E-3</v>
      </c>
      <c r="O58" s="7">
        <f t="shared" si="4"/>
        <v>-1.4369517248802643E-2</v>
      </c>
      <c r="P58" s="7">
        <f t="shared" si="4"/>
        <v>2.134978704816004E-2</v>
      </c>
      <c r="Q58" s="7">
        <f t="shared" si="4"/>
        <v>-4.3838545843358778E-3</v>
      </c>
      <c r="S58" s="7">
        <v>6.9625761531766361E-3</v>
      </c>
      <c r="T58" s="7">
        <v>-1.9442096365173245E-2</v>
      </c>
      <c r="U58" s="201" t="s">
        <v>41</v>
      </c>
      <c r="V58" s="197">
        <v>-3.0110565986155358E-3</v>
      </c>
      <c r="W58" s="7">
        <v>-1.9442096365173245E-2</v>
      </c>
      <c r="X58" s="7">
        <v>-8.6206896551721535E-4</v>
      </c>
      <c r="Y58" s="7">
        <v>-8.6281276962899556E-3</v>
      </c>
      <c r="Z58" s="7">
        <v>6.9625761531766361E-3</v>
      </c>
      <c r="AA58" s="7">
        <v>6.9144338807261008E-3</v>
      </c>
    </row>
    <row r="59" spans="1:27" ht="15.75" thickBot="1" x14ac:dyDescent="0.3">
      <c r="A59" s="201" t="s">
        <v>20</v>
      </c>
      <c r="B59" s="196">
        <v>18.079999999999998</v>
      </c>
      <c r="C59" s="196">
        <v>18.16</v>
      </c>
      <c r="D59" s="196">
        <v>18.52</v>
      </c>
      <c r="E59" s="196">
        <v>18.329999999999998</v>
      </c>
      <c r="F59" s="196">
        <v>18.260000000000002</v>
      </c>
      <c r="G59" s="196">
        <v>18</v>
      </c>
      <c r="H59" s="196"/>
      <c r="I59" s="7">
        <f t="shared" si="2"/>
        <v>1.982378854625555E-2</v>
      </c>
      <c r="J59" s="7">
        <f t="shared" si="3"/>
        <v>-1.423877327491796E-2</v>
      </c>
      <c r="K59" s="201" t="s">
        <v>20</v>
      </c>
      <c r="L59" s="197">
        <f t="shared" si="0"/>
        <v>-8.136522785121336E-4</v>
      </c>
      <c r="M59" s="7">
        <f t="shared" si="4"/>
        <v>4.4247787610620648E-3</v>
      </c>
      <c r="N59" s="7">
        <f t="shared" si="4"/>
        <v>1.982378854625555E-2</v>
      </c>
      <c r="O59" s="7">
        <f t="shared" si="4"/>
        <v>-1.025917926565878E-2</v>
      </c>
      <c r="P59" s="7">
        <f t="shared" si="4"/>
        <v>-3.818876159301543E-3</v>
      </c>
      <c r="Q59" s="7">
        <f t="shared" si="4"/>
        <v>-1.423877327491796E-2</v>
      </c>
      <c r="S59" s="7">
        <v>1.8991964937910888E-2</v>
      </c>
      <c r="T59" s="7">
        <v>-2.0743919885550799E-2</v>
      </c>
      <c r="U59" s="201" t="s">
        <v>14</v>
      </c>
      <c r="V59" s="197">
        <v>-4.1363288551622187E-3</v>
      </c>
      <c r="W59" s="7">
        <v>-1.6806722689075682E-2</v>
      </c>
      <c r="X59" s="7">
        <v>-4.2735042735041473E-3</v>
      </c>
      <c r="Y59" s="7">
        <v>-2.0743919885550799E-2</v>
      </c>
      <c r="Z59" s="7">
        <v>1.8991964937910888E-2</v>
      </c>
      <c r="AA59" s="7">
        <v>2.1505376344086446E-3</v>
      </c>
    </row>
    <row r="60" spans="1:27" ht="15.75" thickBot="1" x14ac:dyDescent="0.3">
      <c r="A60" s="201" t="s">
        <v>93</v>
      </c>
      <c r="B60" s="196">
        <v>0.37</v>
      </c>
      <c r="C60" s="196">
        <v>0.36</v>
      </c>
      <c r="D60" s="196">
        <v>0.36</v>
      </c>
      <c r="E60" s="196">
        <v>0.37</v>
      </c>
      <c r="F60" s="196">
        <v>0.37</v>
      </c>
      <c r="G60" s="196">
        <v>0.36</v>
      </c>
      <c r="H60" s="196"/>
      <c r="I60" s="7">
        <f t="shared" si="2"/>
        <v>2.7777777777777901E-2</v>
      </c>
      <c r="J60" s="7">
        <f t="shared" si="3"/>
        <v>-2.7027027027027084E-2</v>
      </c>
      <c r="K60" s="201" t="s">
        <v>93</v>
      </c>
      <c r="L60" s="197">
        <f t="shared" si="0"/>
        <v>-5.255255255255253E-3</v>
      </c>
      <c r="M60" s="7">
        <f t="shared" si="4"/>
        <v>-2.7027027027027084E-2</v>
      </c>
      <c r="N60" s="7">
        <f t="shared" si="4"/>
        <v>0</v>
      </c>
      <c r="O60" s="7">
        <f t="shared" si="4"/>
        <v>2.7777777777777901E-2</v>
      </c>
      <c r="P60" s="7">
        <f t="shared" si="4"/>
        <v>0</v>
      </c>
      <c r="Q60" s="7">
        <f t="shared" si="4"/>
        <v>-2.7027027027027084E-2</v>
      </c>
      <c r="S60" s="7">
        <v>6.4439655172414678E-3</v>
      </c>
      <c r="T60" s="7">
        <v>-1.5640357249690151E-2</v>
      </c>
      <c r="U60" s="201" t="s">
        <v>89</v>
      </c>
      <c r="V60" s="197">
        <v>-4.3649584357347447E-3</v>
      </c>
      <c r="W60" s="7">
        <v>6.4439655172414678E-3</v>
      </c>
      <c r="X60" s="7">
        <v>2.2056146812565736E-3</v>
      </c>
      <c r="Y60" s="7">
        <v>-1.5640357249690151E-2</v>
      </c>
      <c r="Z60" s="7">
        <v>-1.23724766659431E-2</v>
      </c>
      <c r="AA60" s="7">
        <v>-2.461538461538515E-3</v>
      </c>
    </row>
    <row r="61" spans="1:27" ht="15.75" thickBot="1" x14ac:dyDescent="0.3">
      <c r="A61" s="199" t="s">
        <v>215</v>
      </c>
      <c r="B61" s="196">
        <v>143.66999999999999</v>
      </c>
      <c r="C61" s="196">
        <v>143.46</v>
      </c>
      <c r="D61" s="196">
        <v>144.24</v>
      </c>
      <c r="E61" s="196">
        <v>146.35</v>
      </c>
      <c r="F61" s="196">
        <v>144.63</v>
      </c>
      <c r="G61" s="196">
        <v>144.53</v>
      </c>
      <c r="H61" s="196"/>
      <c r="I61" s="7">
        <f t="shared" si="2"/>
        <v>1.4628397115917791E-2</v>
      </c>
      <c r="J61" s="7">
        <f t="shared" si="3"/>
        <v>-1.1752647762213853E-2</v>
      </c>
      <c r="K61" s="199" t="s">
        <v>215</v>
      </c>
      <c r="L61" s="197">
        <f t="shared" si="0"/>
        <v>1.2319404942337409E-3</v>
      </c>
      <c r="M61" s="7">
        <f t="shared" si="4"/>
        <v>-1.4616830235956169E-3</v>
      </c>
      <c r="N61" s="7">
        <f t="shared" si="4"/>
        <v>5.4370556252614222E-3</v>
      </c>
      <c r="O61" s="7">
        <f t="shared" si="4"/>
        <v>1.4628397115917791E-2</v>
      </c>
      <c r="P61" s="7">
        <f t="shared" si="4"/>
        <v>-1.1752647762213853E-2</v>
      </c>
      <c r="Q61" s="7">
        <f t="shared" si="4"/>
        <v>-6.9141948420103905E-4</v>
      </c>
      <c r="S61" s="7">
        <v>1.4179010001265979E-2</v>
      </c>
      <c r="T61" s="7">
        <v>-2.3126391293593951E-2</v>
      </c>
      <c r="U61" s="201" t="s">
        <v>15</v>
      </c>
      <c r="V61" s="197">
        <v>-4.4956739643745355E-3</v>
      </c>
      <c r="W61" s="7">
        <v>3.7114932574544568E-4</v>
      </c>
      <c r="X61" s="7">
        <v>-2.3126391293593951E-2</v>
      </c>
      <c r="Y61" s="7">
        <v>1.4179010001265979E-2</v>
      </c>
      <c r="Z61" s="7">
        <v>-5.4924478841592572E-3</v>
      </c>
      <c r="AA61" s="7">
        <v>-8.4096899711308959E-3</v>
      </c>
    </row>
    <row r="62" spans="1:27" ht="15.75" thickBot="1" x14ac:dyDescent="0.3">
      <c r="A62" s="200" t="s">
        <v>88</v>
      </c>
      <c r="B62" s="196">
        <v>178.26</v>
      </c>
      <c r="C62" s="196">
        <v>179.41</v>
      </c>
      <c r="D62" s="196">
        <v>178.96</v>
      </c>
      <c r="E62" s="196">
        <v>178.4</v>
      </c>
      <c r="F62" s="196">
        <v>177.07</v>
      </c>
      <c r="G62" s="196">
        <v>170.96</v>
      </c>
      <c r="H62" s="196"/>
      <c r="I62" s="7">
        <f t="shared" si="2"/>
        <v>6.4512509817120645E-3</v>
      </c>
      <c r="J62" s="7">
        <f t="shared" si="3"/>
        <v>-3.4506127520189667E-2</v>
      </c>
      <c r="K62" s="200" t="s">
        <v>88</v>
      </c>
      <c r="L62" s="197">
        <f t="shared" si="0"/>
        <v>-8.2294891524271156E-3</v>
      </c>
      <c r="M62" s="7">
        <f t="shared" si="4"/>
        <v>6.4512509817120645E-3</v>
      </c>
      <c r="N62" s="7">
        <f t="shared" si="4"/>
        <v>-2.5082213923415253E-3</v>
      </c>
      <c r="O62" s="7">
        <f t="shared" si="4"/>
        <v>-3.129190880643784E-3</v>
      </c>
      <c r="P62" s="7">
        <f t="shared" si="4"/>
        <v>-7.45515695067267E-3</v>
      </c>
      <c r="Q62" s="7">
        <f t="shared" si="4"/>
        <v>-3.4506127520189667E-2</v>
      </c>
      <c r="S62" s="7">
        <v>1.1940298507462588E-2</v>
      </c>
      <c r="T62" s="7">
        <v>-1.4705882352941124E-2</v>
      </c>
      <c r="U62" s="201" t="s">
        <v>81</v>
      </c>
      <c r="V62" s="197">
        <v>-4.6795418191709626E-3</v>
      </c>
      <c r="W62" s="7">
        <v>-5.8479532163743242E-3</v>
      </c>
      <c r="X62" s="7">
        <v>-1.4705882352941124E-2</v>
      </c>
      <c r="Y62" s="7">
        <v>1.1940298507462588E-2</v>
      </c>
      <c r="Z62" s="7">
        <v>-2.9498525073746729E-3</v>
      </c>
      <c r="AA62" s="7">
        <v>-1.1834319526627279E-2</v>
      </c>
    </row>
    <row r="63" spans="1:27" ht="15.75" thickBot="1" x14ac:dyDescent="0.3">
      <c r="A63" s="199" t="s">
        <v>219</v>
      </c>
      <c r="B63" s="196">
        <v>57.42</v>
      </c>
      <c r="C63" s="196">
        <v>57.29</v>
      </c>
      <c r="D63" s="196">
        <v>56.56</v>
      </c>
      <c r="E63" s="196">
        <v>57.66</v>
      </c>
      <c r="F63" s="196">
        <v>56.74</v>
      </c>
      <c r="G63" s="196">
        <v>56.89</v>
      </c>
      <c r="H63" s="196"/>
      <c r="I63" s="7">
        <f t="shared" si="2"/>
        <v>1.944837340876937E-2</v>
      </c>
      <c r="J63" s="7">
        <f t="shared" si="3"/>
        <v>-1.5955601803676611E-2</v>
      </c>
      <c r="K63" s="199" t="s">
        <v>219</v>
      </c>
      <c r="L63" s="197">
        <f t="shared" si="0"/>
        <v>-1.77395982371642E-3</v>
      </c>
      <c r="M63" s="7">
        <f t="shared" si="4"/>
        <v>-2.2640195053988954E-3</v>
      </c>
      <c r="N63" s="7">
        <f t="shared" si="4"/>
        <v>-1.2742188863675952E-2</v>
      </c>
      <c r="O63" s="7">
        <f t="shared" si="4"/>
        <v>1.944837340876937E-2</v>
      </c>
      <c r="P63" s="7">
        <f t="shared" si="4"/>
        <v>-1.5955601803676611E-2</v>
      </c>
      <c r="Q63" s="7">
        <f t="shared" si="4"/>
        <v>2.6436376453999877E-3</v>
      </c>
      <c r="S63" s="7">
        <v>6.4683053040104355E-3</v>
      </c>
      <c r="T63" s="7">
        <v>-1.6434892541087209E-2</v>
      </c>
      <c r="U63" s="201" t="s">
        <v>72</v>
      </c>
      <c r="V63" s="197">
        <v>-4.7715563553029083E-3</v>
      </c>
      <c r="W63" s="7">
        <v>-1.2547051442910906E-2</v>
      </c>
      <c r="X63" s="7">
        <v>5.0825921219821435E-3</v>
      </c>
      <c r="Y63" s="7">
        <v>-1.6434892541087209E-2</v>
      </c>
      <c r="Z63" s="7">
        <v>-6.4267352185090054E-3</v>
      </c>
      <c r="AA63" s="7">
        <v>6.4683053040104355E-3</v>
      </c>
    </row>
    <row r="64" spans="1:27" ht="15.75" thickBot="1" x14ac:dyDescent="0.3">
      <c r="A64" s="201" t="s">
        <v>82</v>
      </c>
      <c r="B64" s="196">
        <v>16.2</v>
      </c>
      <c r="C64" s="196">
        <v>16.11</v>
      </c>
      <c r="D64" s="196">
        <v>16.23</v>
      </c>
      <c r="E64" s="196">
        <v>15.65</v>
      </c>
      <c r="F64" s="196">
        <v>15.7</v>
      </c>
      <c r="G64" s="196">
        <v>15.7</v>
      </c>
      <c r="H64" s="196"/>
      <c r="I64" s="7">
        <f t="shared" si="2"/>
        <v>7.4487895716945918E-3</v>
      </c>
      <c r="J64" s="7">
        <f t="shared" si="3"/>
        <v>-3.5736290819470162E-2</v>
      </c>
      <c r="K64" s="201" t="s">
        <v>82</v>
      </c>
      <c r="L64" s="197">
        <f t="shared" si="0"/>
        <v>-6.1296337248834872E-3</v>
      </c>
      <c r="M64" s="7">
        <f t="shared" si="4"/>
        <v>-5.5555555555555358E-3</v>
      </c>
      <c r="N64" s="7">
        <f t="shared" si="4"/>
        <v>7.4487895716945918E-3</v>
      </c>
      <c r="O64" s="7">
        <f t="shared" si="4"/>
        <v>-3.5736290819470162E-2</v>
      </c>
      <c r="P64" s="7">
        <f t="shared" si="4"/>
        <v>3.1948881789136685E-3</v>
      </c>
      <c r="Q64" s="7">
        <f t="shared" si="4"/>
        <v>0</v>
      </c>
      <c r="S64" s="7">
        <v>2.7777777777777901E-2</v>
      </c>
      <c r="T64" s="7">
        <v>-2.7027027027027084E-2</v>
      </c>
      <c r="U64" s="200" t="s">
        <v>93</v>
      </c>
      <c r="V64" s="197">
        <v>-5.255255255255253E-3</v>
      </c>
      <c r="W64" s="7">
        <v>-2.7027027027027084E-2</v>
      </c>
      <c r="X64" s="7">
        <v>0</v>
      </c>
      <c r="Y64" s="7">
        <v>2.7777777777777901E-2</v>
      </c>
      <c r="Z64" s="7">
        <v>0</v>
      </c>
      <c r="AA64" s="7">
        <v>-2.7027027027027084E-2</v>
      </c>
    </row>
    <row r="65" spans="1:27" ht="15.75" thickBot="1" x14ac:dyDescent="0.3">
      <c r="A65" s="201" t="s">
        <v>42</v>
      </c>
      <c r="B65" s="196">
        <v>69.150000000000006</v>
      </c>
      <c r="C65" s="196">
        <v>68.400000000000006</v>
      </c>
      <c r="D65" s="196">
        <v>69.05</v>
      </c>
      <c r="E65" s="196">
        <v>69.5</v>
      </c>
      <c r="F65" s="196">
        <v>70.05</v>
      </c>
      <c r="G65" s="196">
        <v>72.2</v>
      </c>
      <c r="H65" s="196"/>
      <c r="I65" s="7">
        <f t="shared" si="2"/>
        <v>3.069236259814434E-2</v>
      </c>
      <c r="J65" s="7">
        <f t="shared" si="3"/>
        <v>-1.0845986984815648E-2</v>
      </c>
      <c r="K65" s="201" t="s">
        <v>42</v>
      </c>
      <c r="L65" s="197">
        <f t="shared" si="0"/>
        <v>8.7559970618566133E-3</v>
      </c>
      <c r="M65" s="7">
        <f t="shared" si="4"/>
        <v>-1.0845986984815648E-2</v>
      </c>
      <c r="N65" s="7">
        <f t="shared" si="4"/>
        <v>9.5029239766080131E-3</v>
      </c>
      <c r="O65" s="7">
        <f t="shared" si="4"/>
        <v>6.5170166545982511E-3</v>
      </c>
      <c r="P65" s="7">
        <f t="shared" si="4"/>
        <v>7.9136690647481078E-3</v>
      </c>
      <c r="Q65" s="7">
        <f t="shared" si="4"/>
        <v>3.069236259814434E-2</v>
      </c>
      <c r="S65" s="7">
        <v>6.0060060060060927E-3</v>
      </c>
      <c r="T65" s="7">
        <v>-1.2158054711246202E-2</v>
      </c>
      <c r="U65" s="199" t="s">
        <v>84</v>
      </c>
      <c r="V65" s="197">
        <v>-5.4422266095812914E-3</v>
      </c>
      <c r="W65" s="7">
        <v>6.0060060060060927E-3</v>
      </c>
      <c r="X65" s="7">
        <v>-5.9701492537312939E-3</v>
      </c>
      <c r="Y65" s="7">
        <v>-1.2012012012012074E-2</v>
      </c>
      <c r="Z65" s="7">
        <v>-1.2158054711246202E-2</v>
      </c>
      <c r="AA65" s="7">
        <v>-3.0769230769229772E-3</v>
      </c>
    </row>
    <row r="66" spans="1:27" ht="15.75" thickBot="1" x14ac:dyDescent="0.3">
      <c r="A66" s="200" t="s">
        <v>40</v>
      </c>
      <c r="B66" s="196">
        <v>1295.5</v>
      </c>
      <c r="C66" s="196">
        <v>1297.32</v>
      </c>
      <c r="D66" s="196">
        <v>1305</v>
      </c>
      <c r="E66" s="196">
        <v>1271.5</v>
      </c>
      <c r="F66" s="196">
        <v>1273</v>
      </c>
      <c r="G66" s="196">
        <v>1285.5</v>
      </c>
      <c r="H66" s="196"/>
      <c r="I66" s="7">
        <f t="shared" si="2"/>
        <v>9.8193244304791705E-3</v>
      </c>
      <c r="J66" s="7">
        <f t="shared" si="3"/>
        <v>-2.5670498084291227E-2</v>
      </c>
      <c r="K66" s="200" t="s">
        <v>40</v>
      </c>
      <c r="L66" s="197">
        <f t="shared" si="0"/>
        <v>-1.4693410519246886E-3</v>
      </c>
      <c r="M66" s="7">
        <f t="shared" si="4"/>
        <v>1.4048629872636109E-3</v>
      </c>
      <c r="N66" s="7">
        <f t="shared" si="4"/>
        <v>5.9198964018130074E-3</v>
      </c>
      <c r="O66" s="7">
        <f t="shared" si="4"/>
        <v>-2.5670498084291227E-2</v>
      </c>
      <c r="P66" s="7">
        <f t="shared" si="4"/>
        <v>1.1797090051119952E-3</v>
      </c>
      <c r="Q66" s="7">
        <f t="shared" si="4"/>
        <v>9.8193244304791705E-3</v>
      </c>
      <c r="S66" s="7">
        <v>9.6387342623378558E-3</v>
      </c>
      <c r="T66" s="7">
        <v>-3.7566734060691886E-2</v>
      </c>
      <c r="U66" s="201" t="s">
        <v>85</v>
      </c>
      <c r="V66" s="197">
        <v>-5.9632716610349855E-3</v>
      </c>
      <c r="W66" s="7">
        <v>9.6387342623378558E-3</v>
      </c>
      <c r="X66" s="7">
        <v>-3.5245143385753686E-3</v>
      </c>
      <c r="Y66" s="7">
        <v>-3.6205311969105258E-3</v>
      </c>
      <c r="Z66" s="7">
        <v>-3.7566734060691886E-2</v>
      </c>
      <c r="AA66" s="7">
        <v>5.2566870286649969E-3</v>
      </c>
    </row>
    <row r="67" spans="1:27" ht="15.75" thickBot="1" x14ac:dyDescent="0.3">
      <c r="A67" s="201" t="s">
        <v>30</v>
      </c>
      <c r="B67" s="196">
        <v>190.88</v>
      </c>
      <c r="C67" s="196">
        <v>193.85</v>
      </c>
      <c r="D67" s="196">
        <v>194.08</v>
      </c>
      <c r="E67" s="196">
        <v>198.84</v>
      </c>
      <c r="F67" s="196">
        <v>199.83</v>
      </c>
      <c r="G67" s="196">
        <v>201.92</v>
      </c>
      <c r="H67" s="196"/>
      <c r="I67" s="7">
        <f t="shared" si="2"/>
        <v>2.4525968672712173E-2</v>
      </c>
      <c r="J67" s="7">
        <f t="shared" si="3"/>
        <v>1.1864843951510107E-3</v>
      </c>
      <c r="K67" s="201" t="s">
        <v>30</v>
      </c>
      <c r="L67" s="197">
        <f t="shared" ref="L67:L84" si="5">AVERAGE(M67:Q67)</f>
        <v>1.1341946888905774E-2</v>
      </c>
      <c r="M67" s="7">
        <f t="shared" ref="M67:Q84" si="6">+C67/B67-1</f>
        <v>1.5559513830678995E-2</v>
      </c>
      <c r="N67" s="7">
        <f t="shared" si="6"/>
        <v>1.1864843951510107E-3</v>
      </c>
      <c r="O67" s="7">
        <f t="shared" si="6"/>
        <v>2.4525968672712173E-2</v>
      </c>
      <c r="P67" s="7">
        <f t="shared" si="6"/>
        <v>4.9788774894388155E-3</v>
      </c>
      <c r="Q67" s="7">
        <f t="shared" si="6"/>
        <v>1.0458890056547876E-2</v>
      </c>
      <c r="S67" s="7">
        <v>1.6650342801175277E-2</v>
      </c>
      <c r="T67" s="7">
        <v>-3.5882908404154756E-2</v>
      </c>
      <c r="U67" s="201" t="s">
        <v>48</v>
      </c>
      <c r="V67" s="197">
        <v>-6.0906005645834146E-3</v>
      </c>
      <c r="W67" s="7">
        <v>-1.6901408450704203E-2</v>
      </c>
      <c r="X67" s="7">
        <v>1.1461318051575908E-2</v>
      </c>
      <c r="Y67" s="7">
        <v>-3.5882908404154756E-2</v>
      </c>
      <c r="Z67" s="7">
        <v>1.6650342801175277E-2</v>
      </c>
      <c r="AA67" s="7">
        <v>-5.7803468208093012E-3</v>
      </c>
    </row>
    <row r="68" spans="1:27" ht="15.75" thickBot="1" x14ac:dyDescent="0.3">
      <c r="A68" s="201" t="s">
        <v>57</v>
      </c>
      <c r="B68" s="196">
        <v>695.8</v>
      </c>
      <c r="C68" s="196">
        <v>698.5</v>
      </c>
      <c r="D68" s="196">
        <v>704.1</v>
      </c>
      <c r="E68" s="196">
        <v>693.8</v>
      </c>
      <c r="F68" s="196">
        <v>695.6</v>
      </c>
      <c r="G68" s="196">
        <v>707.8</v>
      </c>
      <c r="H68" s="196"/>
      <c r="I68" s="7">
        <f t="shared" ref="I68:I84" si="7">MAX(M68:Q68)</f>
        <v>1.7538815411155761E-2</v>
      </c>
      <c r="J68" s="7">
        <f t="shared" ref="J68:J84" si="8">MIN(M68:Q68)</f>
        <v>-1.4628603891492786E-2</v>
      </c>
      <c r="K68" s="201" t="s">
        <v>57</v>
      </c>
      <c r="L68" s="197">
        <f t="shared" si="5"/>
        <v>3.4804448420497681E-3</v>
      </c>
      <c r="M68" s="7">
        <f t="shared" si="6"/>
        <v>3.8804254096005408E-3</v>
      </c>
      <c r="N68" s="7">
        <f t="shared" si="6"/>
        <v>8.017179670722907E-3</v>
      </c>
      <c r="O68" s="7">
        <f t="shared" si="6"/>
        <v>-1.4628603891492786E-2</v>
      </c>
      <c r="P68" s="7">
        <f t="shared" si="6"/>
        <v>2.594407610262417E-3</v>
      </c>
      <c r="Q68" s="7">
        <f t="shared" si="6"/>
        <v>1.7538815411155761E-2</v>
      </c>
      <c r="S68" s="7">
        <v>7.4487895716945918E-3</v>
      </c>
      <c r="T68" s="7">
        <v>-3.5736290819470162E-2</v>
      </c>
      <c r="U68" s="201" t="s">
        <v>82</v>
      </c>
      <c r="V68" s="197">
        <v>-6.1296337248834872E-3</v>
      </c>
      <c r="W68" s="7">
        <v>-5.5555555555555358E-3</v>
      </c>
      <c r="X68" s="7">
        <v>7.4487895716945918E-3</v>
      </c>
      <c r="Y68" s="7">
        <v>-3.5736290819470162E-2</v>
      </c>
      <c r="Z68" s="7">
        <v>3.1948881789136685E-3</v>
      </c>
      <c r="AA68" s="7">
        <v>0</v>
      </c>
    </row>
    <row r="69" spans="1:27" ht="15.75" thickBot="1" x14ac:dyDescent="0.3">
      <c r="A69" s="201" t="s">
        <v>84</v>
      </c>
      <c r="B69" s="196">
        <v>3.33</v>
      </c>
      <c r="C69" s="196">
        <v>3.35</v>
      </c>
      <c r="D69" s="196">
        <v>3.33</v>
      </c>
      <c r="E69" s="196">
        <v>3.29</v>
      </c>
      <c r="F69" s="196">
        <v>3.25</v>
      </c>
      <c r="G69" s="196">
        <v>3.24</v>
      </c>
      <c r="H69" s="196"/>
      <c r="I69" s="7">
        <f t="shared" si="7"/>
        <v>6.0060060060060927E-3</v>
      </c>
      <c r="J69" s="7">
        <f t="shared" si="8"/>
        <v>-1.2158054711246202E-2</v>
      </c>
      <c r="K69" s="201" t="s">
        <v>84</v>
      </c>
      <c r="L69" s="197">
        <f t="shared" si="5"/>
        <v>-5.4422266095812914E-3</v>
      </c>
      <c r="M69" s="7">
        <f t="shared" si="6"/>
        <v>6.0060060060060927E-3</v>
      </c>
      <c r="N69" s="7">
        <f t="shared" si="6"/>
        <v>-5.9701492537312939E-3</v>
      </c>
      <c r="O69" s="7">
        <f t="shared" si="6"/>
        <v>-1.2012012012012074E-2</v>
      </c>
      <c r="P69" s="7">
        <f t="shared" si="6"/>
        <v>-1.2158054711246202E-2</v>
      </c>
      <c r="Q69" s="7">
        <f t="shared" si="6"/>
        <v>-3.0769230769229772E-3</v>
      </c>
      <c r="S69" s="7">
        <v>1.2295081967213184E-2</v>
      </c>
      <c r="T69" s="7">
        <v>-3.2000000000000028E-2</v>
      </c>
      <c r="U69" s="201" t="s">
        <v>91</v>
      </c>
      <c r="V69" s="197">
        <v>-6.20965967202487E-3</v>
      </c>
      <c r="W69" s="7">
        <v>0</v>
      </c>
      <c r="X69" s="7">
        <v>-1.9607843137254832E-2</v>
      </c>
      <c r="Y69" s="7">
        <v>-3.2000000000000028E-2</v>
      </c>
      <c r="Z69" s="7">
        <v>8.2644628099173278E-3</v>
      </c>
      <c r="AA69" s="7">
        <v>1.2295081967213184E-2</v>
      </c>
    </row>
    <row r="70" spans="1:27" ht="15.75" thickBot="1" x14ac:dyDescent="0.3">
      <c r="A70" s="200" t="s">
        <v>36</v>
      </c>
      <c r="B70" s="196">
        <v>10.31</v>
      </c>
      <c r="C70" s="196">
        <v>10.4</v>
      </c>
      <c r="D70" s="196">
        <v>10.48</v>
      </c>
      <c r="E70" s="196">
        <v>10.6</v>
      </c>
      <c r="F70" s="196">
        <v>10.54</v>
      </c>
      <c r="G70" s="196">
        <v>10.54</v>
      </c>
      <c r="H70" s="196"/>
      <c r="I70" s="7">
        <f t="shared" si="7"/>
        <v>1.1450381679389166E-2</v>
      </c>
      <c r="J70" s="7">
        <f t="shared" si="8"/>
        <v>-5.6603773584905648E-3</v>
      </c>
      <c r="K70" s="200" t="s">
        <v>36</v>
      </c>
      <c r="L70" s="197">
        <f t="shared" si="5"/>
        <v>4.4423401911960481E-3</v>
      </c>
      <c r="M70" s="7">
        <f t="shared" si="6"/>
        <v>8.7293889427739746E-3</v>
      </c>
      <c r="N70" s="7">
        <f t="shared" si="6"/>
        <v>7.692307692307665E-3</v>
      </c>
      <c r="O70" s="7">
        <f t="shared" si="6"/>
        <v>1.1450381679389166E-2</v>
      </c>
      <c r="P70" s="7">
        <f t="shared" si="6"/>
        <v>-5.6603773584905648E-3</v>
      </c>
      <c r="Q70" s="7">
        <f t="shared" si="6"/>
        <v>0</v>
      </c>
      <c r="S70" s="7">
        <v>1.6129032258064502E-2</v>
      </c>
      <c r="T70" s="7">
        <v>-1.5873015873015928E-2</v>
      </c>
      <c r="U70" s="201" t="s">
        <v>86</v>
      </c>
      <c r="V70" s="197">
        <v>-6.2483998975934709E-3</v>
      </c>
      <c r="W70" s="7">
        <v>0</v>
      </c>
      <c r="X70" s="7">
        <v>-1.5625E-2</v>
      </c>
      <c r="Y70" s="7">
        <v>-1.5873015873015928E-2</v>
      </c>
      <c r="Z70" s="7">
        <v>1.6129032258064502E-2</v>
      </c>
      <c r="AA70" s="7">
        <v>-1.5873015873015928E-2</v>
      </c>
    </row>
    <row r="71" spans="1:27" ht="15.75" thickBot="1" x14ac:dyDescent="0.3">
      <c r="A71" s="199" t="s">
        <v>221</v>
      </c>
      <c r="B71" s="196">
        <v>249.04</v>
      </c>
      <c r="C71" s="196">
        <v>248.84</v>
      </c>
      <c r="D71" s="196">
        <v>247.1</v>
      </c>
      <c r="E71" s="196">
        <v>238.88</v>
      </c>
      <c r="F71" s="196">
        <v>235.84</v>
      </c>
      <c r="G71" s="196">
        <v>233.59</v>
      </c>
      <c r="H71" s="196"/>
      <c r="I71" s="7">
        <f t="shared" si="7"/>
        <v>-8.0308384195304505E-4</v>
      </c>
      <c r="J71" s="7">
        <f t="shared" si="8"/>
        <v>-3.3265884257385636E-2</v>
      </c>
      <c r="K71" s="199" t="s">
        <v>221</v>
      </c>
      <c r="L71" s="197">
        <f t="shared" si="5"/>
        <v>-1.2665566863384626E-2</v>
      </c>
      <c r="M71" s="7">
        <f t="shared" si="6"/>
        <v>-8.0308384195304505E-4</v>
      </c>
      <c r="N71" s="7">
        <f t="shared" si="6"/>
        <v>-6.9924449445427639E-3</v>
      </c>
      <c r="O71" s="7">
        <f t="shared" si="6"/>
        <v>-3.3265884257385636E-2</v>
      </c>
      <c r="P71" s="7">
        <f t="shared" si="6"/>
        <v>-1.2726054922973851E-2</v>
      </c>
      <c r="Q71" s="7">
        <f t="shared" si="6"/>
        <v>-9.5403663500678304E-3</v>
      </c>
      <c r="S71" s="7">
        <v>6.4652440312698012E-3</v>
      </c>
      <c r="T71" s="7">
        <v>-2.4525968672712284E-2</v>
      </c>
      <c r="U71" s="201" t="s">
        <v>25</v>
      </c>
      <c r="V71" s="197">
        <v>-6.8759300697742278E-3</v>
      </c>
      <c r="W71" s="7">
        <v>-4.5638126009692748E-3</v>
      </c>
      <c r="X71" s="7">
        <v>-1.5701708118635138E-2</v>
      </c>
      <c r="Y71" s="7">
        <v>-2.4525968672712284E-2</v>
      </c>
      <c r="Z71" s="7">
        <v>6.4652440312698012E-3</v>
      </c>
      <c r="AA71" s="7">
        <v>3.9465950121757576E-3</v>
      </c>
    </row>
    <row r="72" spans="1:27" ht="15.75" thickBot="1" x14ac:dyDescent="0.3">
      <c r="A72" s="201" t="s">
        <v>22</v>
      </c>
      <c r="B72" s="196">
        <v>4.03</v>
      </c>
      <c r="C72" s="196">
        <v>3.94</v>
      </c>
      <c r="D72" s="196">
        <v>4</v>
      </c>
      <c r="E72" s="196">
        <v>3.97</v>
      </c>
      <c r="F72" s="196">
        <v>3.97</v>
      </c>
      <c r="G72" s="196">
        <v>4.0199999999999996</v>
      </c>
      <c r="H72" s="196"/>
      <c r="I72" s="7">
        <f t="shared" si="7"/>
        <v>1.5228426395939021E-2</v>
      </c>
      <c r="J72" s="7">
        <f t="shared" si="8"/>
        <v>-2.2332506203474045E-2</v>
      </c>
      <c r="K72" s="201" t="s">
        <v>22</v>
      </c>
      <c r="L72" s="197">
        <f t="shared" si="5"/>
        <v>-4.0192427384957432E-4</v>
      </c>
      <c r="M72" s="7">
        <f t="shared" si="6"/>
        <v>-2.2332506203474045E-2</v>
      </c>
      <c r="N72" s="7">
        <f t="shared" si="6"/>
        <v>1.5228426395939021E-2</v>
      </c>
      <c r="O72" s="7">
        <f t="shared" si="6"/>
        <v>-7.4999999999999512E-3</v>
      </c>
      <c r="P72" s="7">
        <f t="shared" si="6"/>
        <v>0</v>
      </c>
      <c r="Q72" s="7">
        <f t="shared" si="6"/>
        <v>1.2594458438287104E-2</v>
      </c>
      <c r="S72" s="7">
        <v>7.0074015679060242E-3</v>
      </c>
      <c r="T72" s="7">
        <v>-2.3987082244460112E-2</v>
      </c>
      <c r="U72" s="201" t="s">
        <v>13</v>
      </c>
      <c r="V72" s="197">
        <v>-8.0353059760932769E-3</v>
      </c>
      <c r="W72" s="7">
        <v>-3.6331746429466572E-3</v>
      </c>
      <c r="X72" s="7">
        <v>-1.3642650572111115E-2</v>
      </c>
      <c r="Y72" s="7">
        <v>-2.3987082244460112E-2</v>
      </c>
      <c r="Z72" s="7">
        <v>-5.9210239888545235E-3</v>
      </c>
      <c r="AA72" s="7">
        <v>7.0074015679060242E-3</v>
      </c>
    </row>
    <row r="73" spans="1:27" ht="15.75" thickBot="1" x14ac:dyDescent="0.3">
      <c r="A73" s="201" t="s">
        <v>17</v>
      </c>
      <c r="B73" s="196">
        <v>17.43</v>
      </c>
      <c r="C73" s="196">
        <v>17.52</v>
      </c>
      <c r="D73" s="196">
        <v>17.8</v>
      </c>
      <c r="E73" s="196">
        <v>18.2</v>
      </c>
      <c r="F73" s="196">
        <v>17.98</v>
      </c>
      <c r="G73" s="196">
        <v>17.77</v>
      </c>
      <c r="H73" s="196"/>
      <c r="I73" s="7">
        <f t="shared" si="7"/>
        <v>2.2471910112359383E-2</v>
      </c>
      <c r="J73" s="7">
        <f t="shared" si="8"/>
        <v>-1.2087912087912045E-2</v>
      </c>
      <c r="K73" s="201" t="s">
        <v>17</v>
      </c>
      <c r="L73" s="197">
        <f t="shared" si="5"/>
        <v>3.9699200645858298E-3</v>
      </c>
      <c r="M73" s="7">
        <f t="shared" si="6"/>
        <v>5.1635111876076056E-3</v>
      </c>
      <c r="N73" s="7">
        <f t="shared" si="6"/>
        <v>1.5981735159817489E-2</v>
      </c>
      <c r="O73" s="7">
        <f t="shared" si="6"/>
        <v>2.2471910112359383E-2</v>
      </c>
      <c r="P73" s="7">
        <f t="shared" si="6"/>
        <v>-1.2087912087912045E-2</v>
      </c>
      <c r="Q73" s="7">
        <f t="shared" si="6"/>
        <v>-1.1679644048943283E-2</v>
      </c>
      <c r="S73" s="7">
        <v>6.4512509817120645E-3</v>
      </c>
      <c r="T73" s="7">
        <v>-3.4506127520189667E-2</v>
      </c>
      <c r="U73" s="200" t="s">
        <v>88</v>
      </c>
      <c r="V73" s="197">
        <v>-8.2294891524271156E-3</v>
      </c>
      <c r="W73" s="7">
        <v>6.4512509817120645E-3</v>
      </c>
      <c r="X73" s="7">
        <v>-2.5082213923415253E-3</v>
      </c>
      <c r="Y73" s="7">
        <v>-3.129190880643784E-3</v>
      </c>
      <c r="Z73" s="7">
        <v>-7.45515695067267E-3</v>
      </c>
      <c r="AA73" s="7">
        <v>-3.4506127520189667E-2</v>
      </c>
    </row>
    <row r="74" spans="1:27" ht="15.75" thickBot="1" x14ac:dyDescent="0.3">
      <c r="A74" s="199" t="s">
        <v>78</v>
      </c>
      <c r="B74" s="196">
        <v>276</v>
      </c>
      <c r="C74" s="196">
        <v>276.85000000000002</v>
      </c>
      <c r="D74" s="196">
        <v>235</v>
      </c>
      <c r="E74" s="196">
        <v>234.3</v>
      </c>
      <c r="F74" s="196">
        <v>234.2</v>
      </c>
      <c r="G74" s="196">
        <v>235.15</v>
      </c>
      <c r="H74" s="196"/>
      <c r="I74" s="7">
        <f t="shared" si="7"/>
        <v>4.0563620836893133E-3</v>
      </c>
      <c r="J74" s="7">
        <f t="shared" si="8"/>
        <v>-0.15116489073505512</v>
      </c>
      <c r="K74" s="199" t="s">
        <v>78</v>
      </c>
      <c r="L74" s="197">
        <f t="shared" si="5"/>
        <v>-2.9486869030879648E-2</v>
      </c>
      <c r="M74" s="7">
        <f t="shared" si="6"/>
        <v>3.0797101449275832E-3</v>
      </c>
      <c r="N74" s="7">
        <f t="shared" si="6"/>
        <v>-0.15116489073505512</v>
      </c>
      <c r="O74" s="7">
        <f t="shared" si="6"/>
        <v>-2.9787234042553123E-3</v>
      </c>
      <c r="P74" s="7">
        <f t="shared" si="6"/>
        <v>-4.2680324370469869E-4</v>
      </c>
      <c r="Q74" s="7">
        <f t="shared" si="6"/>
        <v>4.0563620836893133E-3</v>
      </c>
      <c r="S74" s="7">
        <v>8.5781128151805053E-3</v>
      </c>
      <c r="T74" s="7">
        <v>-2.4671599930279453E-2</v>
      </c>
      <c r="U74" s="200" t="s">
        <v>83</v>
      </c>
      <c r="V74" s="197">
        <v>-8.5241822449508182E-3</v>
      </c>
      <c r="W74" s="7">
        <v>-8.6936380481779096E-3</v>
      </c>
      <c r="X74" s="7">
        <v>-1.6947832453229839E-2</v>
      </c>
      <c r="Y74" s="7">
        <v>-2.4671599930279453E-2</v>
      </c>
      <c r="Z74" s="7">
        <v>8.5781128151805053E-3</v>
      </c>
      <c r="AA74" s="7">
        <v>-8.8595360824739178E-4</v>
      </c>
    </row>
    <row r="75" spans="1:27" ht="15.75" thickBot="1" x14ac:dyDescent="0.3">
      <c r="A75" s="199" t="s">
        <v>31</v>
      </c>
      <c r="B75" s="196">
        <v>7122.44</v>
      </c>
      <c r="C75" s="196">
        <v>7052.99</v>
      </c>
      <c r="D75" s="196">
        <v>7015</v>
      </c>
      <c r="E75" s="196">
        <v>7110</v>
      </c>
      <c r="F75" s="196">
        <v>7255</v>
      </c>
      <c r="G75" s="196">
        <v>7185</v>
      </c>
      <c r="H75" s="196"/>
      <c r="I75" s="7">
        <f t="shared" si="7"/>
        <v>2.0393811533051975E-2</v>
      </c>
      <c r="J75" s="7">
        <f t="shared" si="8"/>
        <v>-9.7508718922166837E-3</v>
      </c>
      <c r="K75" s="199" t="s">
        <v>31</v>
      </c>
      <c r="L75" s="197">
        <f t="shared" si="5"/>
        <v>1.8300924899757876E-3</v>
      </c>
      <c r="M75" s="7">
        <f t="shared" si="6"/>
        <v>-9.7508718922166837E-3</v>
      </c>
      <c r="N75" s="7">
        <f t="shared" si="6"/>
        <v>-5.3863680509967926E-3</v>
      </c>
      <c r="O75" s="7">
        <f t="shared" si="6"/>
        <v>1.3542409123307175E-2</v>
      </c>
      <c r="P75" s="7">
        <f t="shared" si="6"/>
        <v>2.0393811533051975E-2</v>
      </c>
      <c r="Q75" s="7">
        <f t="shared" si="6"/>
        <v>-9.6485182632667366E-3</v>
      </c>
      <c r="S75" s="7">
        <v>3.934366231548081E-3</v>
      </c>
      <c r="T75" s="7">
        <v>-4.4638694638694632E-2</v>
      </c>
      <c r="U75" s="199" t="s">
        <v>77</v>
      </c>
      <c r="V75" s="197">
        <v>-9.8037252719365368E-3</v>
      </c>
      <c r="W75" s="7">
        <v>-5.6785259010314615E-3</v>
      </c>
      <c r="X75" s="7">
        <v>-4.4638694638694632E-2</v>
      </c>
      <c r="Y75" s="7">
        <v>3.934366231548081E-3</v>
      </c>
      <c r="Z75" s="7">
        <v>-4.3138803657685187E-3</v>
      </c>
      <c r="AA75" s="7">
        <v>1.6781083142638487E-3</v>
      </c>
    </row>
    <row r="76" spans="1:27" ht="15.75" thickBot="1" x14ac:dyDescent="0.3">
      <c r="A76" s="201" t="s">
        <v>91</v>
      </c>
      <c r="B76" s="196">
        <v>2.5499999999999998</v>
      </c>
      <c r="C76" s="196">
        <v>2.5499999999999998</v>
      </c>
      <c r="D76" s="196">
        <v>2.5</v>
      </c>
      <c r="E76" s="196">
        <v>2.42</v>
      </c>
      <c r="F76" s="196">
        <v>2.44</v>
      </c>
      <c r="G76" s="196">
        <v>2.4700000000000002</v>
      </c>
      <c r="H76" s="196"/>
      <c r="I76" s="7">
        <f t="shared" si="7"/>
        <v>1.2295081967213184E-2</v>
      </c>
      <c r="J76" s="7">
        <f t="shared" si="8"/>
        <v>-3.2000000000000028E-2</v>
      </c>
      <c r="K76" s="201" t="s">
        <v>91</v>
      </c>
      <c r="L76" s="197">
        <f t="shared" si="5"/>
        <v>-6.20965967202487E-3</v>
      </c>
      <c r="M76" s="7">
        <f t="shared" si="6"/>
        <v>0</v>
      </c>
      <c r="N76" s="7">
        <f t="shared" si="6"/>
        <v>-1.9607843137254832E-2</v>
      </c>
      <c r="O76" s="7">
        <f t="shared" si="6"/>
        <v>-3.2000000000000028E-2</v>
      </c>
      <c r="P76" s="7">
        <f t="shared" si="6"/>
        <v>8.2644628099173278E-3</v>
      </c>
      <c r="Q76" s="7">
        <f t="shared" si="6"/>
        <v>1.2295081967213184E-2</v>
      </c>
      <c r="S76" s="7">
        <v>0</v>
      </c>
      <c r="T76" s="7">
        <v>-5.2631578947368474E-2</v>
      </c>
      <c r="U76" s="201" t="s">
        <v>27</v>
      </c>
      <c r="V76" s="197">
        <v>-1.0526315789473694E-2</v>
      </c>
      <c r="W76" s="7">
        <v>0</v>
      </c>
      <c r="X76" s="7">
        <v>0</v>
      </c>
      <c r="Y76" s="7">
        <v>0</v>
      </c>
      <c r="Z76" s="7">
        <v>-5.2631578947368474E-2</v>
      </c>
      <c r="AA76" s="7">
        <v>0</v>
      </c>
    </row>
    <row r="77" spans="1:27" ht="15.75" thickBot="1" x14ac:dyDescent="0.3">
      <c r="A77" s="201" t="s">
        <v>81</v>
      </c>
      <c r="B77" s="196">
        <v>3.42</v>
      </c>
      <c r="C77" s="196">
        <v>3.4</v>
      </c>
      <c r="D77" s="196">
        <v>3.35</v>
      </c>
      <c r="E77" s="196">
        <v>3.39</v>
      </c>
      <c r="F77" s="196">
        <v>3.38</v>
      </c>
      <c r="G77" s="196">
        <v>3.34</v>
      </c>
      <c r="H77" s="196"/>
      <c r="I77" s="7">
        <f t="shared" si="7"/>
        <v>1.1940298507462588E-2</v>
      </c>
      <c r="J77" s="7">
        <f t="shared" si="8"/>
        <v>-1.4705882352941124E-2</v>
      </c>
      <c r="K77" s="201" t="s">
        <v>81</v>
      </c>
      <c r="L77" s="197">
        <f t="shared" si="5"/>
        <v>-4.6795418191709626E-3</v>
      </c>
      <c r="M77" s="7">
        <f t="shared" si="6"/>
        <v>-5.8479532163743242E-3</v>
      </c>
      <c r="N77" s="7">
        <f t="shared" si="6"/>
        <v>-1.4705882352941124E-2</v>
      </c>
      <c r="O77" s="7">
        <f t="shared" si="6"/>
        <v>1.1940298507462588E-2</v>
      </c>
      <c r="P77" s="7">
        <f t="shared" si="6"/>
        <v>-2.9498525073746729E-3</v>
      </c>
      <c r="Q77" s="7">
        <f t="shared" si="6"/>
        <v>-1.1834319526627279E-2</v>
      </c>
      <c r="S77" s="7">
        <v>1.3037809647979959E-3</v>
      </c>
      <c r="T77" s="7">
        <v>-2.9113924050632956E-2</v>
      </c>
      <c r="U77" s="199" t="s">
        <v>79</v>
      </c>
      <c r="V77" s="197">
        <v>-1.095466059729735E-2</v>
      </c>
      <c r="W77" s="7">
        <v>-1.24494242141302E-2</v>
      </c>
      <c r="X77" s="7">
        <v>-4.0970690198549597E-3</v>
      </c>
      <c r="Y77" s="7">
        <v>-2.9113924050632956E-2</v>
      </c>
      <c r="Z77" s="7">
        <v>1.3037809647979959E-3</v>
      </c>
      <c r="AA77" s="7">
        <v>-1.041666666666663E-2</v>
      </c>
    </row>
    <row r="78" spans="1:27" ht="15.75" thickBot="1" x14ac:dyDescent="0.3">
      <c r="A78" s="200" t="s">
        <v>48</v>
      </c>
      <c r="B78" s="196">
        <v>10.65</v>
      </c>
      <c r="C78" s="196">
        <v>10.47</v>
      </c>
      <c r="D78" s="196">
        <v>10.59</v>
      </c>
      <c r="E78" s="196">
        <v>10.210000000000001</v>
      </c>
      <c r="F78" s="196">
        <v>10.38</v>
      </c>
      <c r="G78" s="196">
        <v>10.32</v>
      </c>
      <c r="H78" s="196"/>
      <c r="I78" s="7">
        <f t="shared" si="7"/>
        <v>1.6650342801175277E-2</v>
      </c>
      <c r="J78" s="7">
        <f t="shared" si="8"/>
        <v>-3.5882908404154756E-2</v>
      </c>
      <c r="K78" s="200" t="s">
        <v>48</v>
      </c>
      <c r="L78" s="197">
        <f t="shared" si="5"/>
        <v>-6.0906005645834146E-3</v>
      </c>
      <c r="M78" s="7">
        <f t="shared" si="6"/>
        <v>-1.6901408450704203E-2</v>
      </c>
      <c r="N78" s="7">
        <f t="shared" si="6"/>
        <v>1.1461318051575908E-2</v>
      </c>
      <c r="O78" s="7">
        <f t="shared" si="6"/>
        <v>-3.5882908404154756E-2</v>
      </c>
      <c r="P78" s="7">
        <f t="shared" si="6"/>
        <v>1.6650342801175277E-2</v>
      </c>
      <c r="Q78" s="7">
        <f t="shared" si="6"/>
        <v>-5.7803468208093012E-3</v>
      </c>
      <c r="S78" s="7">
        <v>-8.0308384195304505E-4</v>
      </c>
      <c r="T78" s="7">
        <v>-3.3265884257385636E-2</v>
      </c>
      <c r="U78" s="201" t="s">
        <v>221</v>
      </c>
      <c r="V78" s="197">
        <v>-1.2665566863384626E-2</v>
      </c>
      <c r="W78" s="7">
        <v>-8.0308384195304505E-4</v>
      </c>
      <c r="X78" s="7">
        <v>-6.9924449445427639E-3</v>
      </c>
      <c r="Y78" s="7">
        <v>-3.3265884257385636E-2</v>
      </c>
      <c r="Z78" s="7">
        <v>-1.2726054922973851E-2</v>
      </c>
      <c r="AA78" s="7">
        <v>-9.5403663500678304E-3</v>
      </c>
    </row>
    <row r="79" spans="1:27" ht="15.75" thickBot="1" x14ac:dyDescent="0.3">
      <c r="A79" s="200" t="s">
        <v>214</v>
      </c>
      <c r="B79" s="196">
        <v>29.92</v>
      </c>
      <c r="C79" s="196">
        <v>29.52</v>
      </c>
      <c r="D79" s="196">
        <v>30.42</v>
      </c>
      <c r="E79" s="196">
        <v>30.56</v>
      </c>
      <c r="F79" s="196">
        <v>30.18</v>
      </c>
      <c r="G79" s="196">
        <v>30.94</v>
      </c>
      <c r="H79" s="196"/>
      <c r="I79" s="7">
        <f t="shared" si="7"/>
        <v>3.0487804878048808E-2</v>
      </c>
      <c r="J79" s="7">
        <f t="shared" si="8"/>
        <v>-1.3368983957219305E-2</v>
      </c>
      <c r="K79" s="200" t="s">
        <v>214</v>
      </c>
      <c r="L79" s="197">
        <f t="shared" si="5"/>
        <v>6.8937482424886506E-3</v>
      </c>
      <c r="M79" s="7">
        <f t="shared" si="6"/>
        <v>-1.3368983957219305E-2</v>
      </c>
      <c r="N79" s="7">
        <f t="shared" si="6"/>
        <v>3.0487804878048808E-2</v>
      </c>
      <c r="O79" s="7">
        <f t="shared" si="6"/>
        <v>4.6022353714660902E-3</v>
      </c>
      <c r="P79" s="7">
        <f t="shared" si="6"/>
        <v>-1.2434554973821954E-2</v>
      </c>
      <c r="Q79" s="7">
        <f t="shared" si="6"/>
        <v>2.5182239893969616E-2</v>
      </c>
      <c r="S79" s="7">
        <v>1.1235955056179803E-2</v>
      </c>
      <c r="T79" s="7">
        <v>-6.1111111111111116E-2</v>
      </c>
      <c r="U79" s="199" t="s">
        <v>92</v>
      </c>
      <c r="V79" s="197">
        <v>-1.2867497575734532E-2</v>
      </c>
      <c r="W79" s="7">
        <v>-5.5865921787709993E-3</v>
      </c>
      <c r="X79" s="7">
        <v>1.1235955056179803E-2</v>
      </c>
      <c r="Y79" s="7">
        <v>-6.1111111111111116E-2</v>
      </c>
      <c r="Z79" s="7">
        <v>0</v>
      </c>
      <c r="AA79" s="7">
        <v>-8.8757396449703485E-3</v>
      </c>
    </row>
    <row r="80" spans="1:27" ht="15.75" thickBot="1" x14ac:dyDescent="0.3">
      <c r="A80" s="201" t="s">
        <v>92</v>
      </c>
      <c r="B80" s="196">
        <v>3.58</v>
      </c>
      <c r="C80" s="196">
        <v>3.56</v>
      </c>
      <c r="D80" s="196">
        <v>3.6</v>
      </c>
      <c r="E80" s="196">
        <v>3.38</v>
      </c>
      <c r="F80" s="196">
        <v>3.38</v>
      </c>
      <c r="G80" s="196">
        <v>3.35</v>
      </c>
      <c r="H80" s="196"/>
      <c r="I80" s="7">
        <f t="shared" si="7"/>
        <v>1.1235955056179803E-2</v>
      </c>
      <c r="J80" s="7">
        <f t="shared" si="8"/>
        <v>-6.1111111111111116E-2</v>
      </c>
      <c r="K80" s="201" t="s">
        <v>92</v>
      </c>
      <c r="L80" s="197">
        <f t="shared" si="5"/>
        <v>-1.2867497575734532E-2</v>
      </c>
      <c r="M80" s="7">
        <f t="shared" si="6"/>
        <v>-5.5865921787709993E-3</v>
      </c>
      <c r="N80" s="7">
        <f t="shared" si="6"/>
        <v>1.1235955056179803E-2</v>
      </c>
      <c r="O80" s="7">
        <f t="shared" si="6"/>
        <v>-6.1111111111111116E-2</v>
      </c>
      <c r="P80" s="7">
        <f t="shared" si="6"/>
        <v>0</v>
      </c>
      <c r="Q80" s="7">
        <f t="shared" si="6"/>
        <v>-8.8757396449703485E-3</v>
      </c>
      <c r="S80" s="7">
        <v>-5.9687426372418972E-3</v>
      </c>
      <c r="T80" s="7">
        <v>-2.4621513944223183E-2</v>
      </c>
      <c r="U80" s="200" t="s">
        <v>94</v>
      </c>
      <c r="V80" s="197">
        <v>-1.33861334331133E-2</v>
      </c>
      <c r="W80" s="7">
        <v>-5.9687426372418972E-3</v>
      </c>
      <c r="X80" s="7">
        <v>-8.4538200205419578E-3</v>
      </c>
      <c r="Y80" s="7">
        <v>-2.4621513944223183E-2</v>
      </c>
      <c r="Z80" s="7">
        <v>-1.2662364185932473E-2</v>
      </c>
      <c r="AA80" s="7">
        <v>-1.5224226377626993E-2</v>
      </c>
    </row>
    <row r="81" spans="1:84" ht="15.75" thickBot="1" x14ac:dyDescent="0.3">
      <c r="A81" s="201" t="s">
        <v>49</v>
      </c>
      <c r="B81" s="196">
        <v>3.05</v>
      </c>
      <c r="C81" s="196">
        <v>2.83</v>
      </c>
      <c r="D81" s="196">
        <v>2.81</v>
      </c>
      <c r="E81" s="196">
        <v>2.85</v>
      </c>
      <c r="F81" s="196">
        <v>2.82</v>
      </c>
      <c r="G81" s="196">
        <v>2.83</v>
      </c>
      <c r="H81" s="196"/>
      <c r="I81" s="7">
        <f t="shared" si="7"/>
        <v>1.4234875444839812E-2</v>
      </c>
      <c r="J81" s="7">
        <f t="shared" si="8"/>
        <v>-7.2131147540983487E-2</v>
      </c>
      <c r="K81" s="201" t="s">
        <v>49</v>
      </c>
      <c r="L81" s="197">
        <f t="shared" si="5"/>
        <v>-1.4388725280804881E-2</v>
      </c>
      <c r="M81" s="7">
        <f t="shared" si="6"/>
        <v>-7.2131147540983487E-2</v>
      </c>
      <c r="N81" s="7">
        <f t="shared" si="6"/>
        <v>-7.0671378091873294E-3</v>
      </c>
      <c r="O81" s="7">
        <f t="shared" si="6"/>
        <v>1.4234875444839812E-2</v>
      </c>
      <c r="P81" s="7">
        <f t="shared" si="6"/>
        <v>-1.0526315789473717E-2</v>
      </c>
      <c r="Q81" s="7">
        <f t="shared" si="6"/>
        <v>3.5460992907803135E-3</v>
      </c>
      <c r="S81" s="7">
        <v>2.521313259568303E-2</v>
      </c>
      <c r="T81" s="7">
        <v>-0.13661909573124542</v>
      </c>
      <c r="U81" s="200" t="s">
        <v>51</v>
      </c>
      <c r="V81" s="197">
        <v>-1.421321329085048E-2</v>
      </c>
      <c r="W81" s="7">
        <v>-0.13661909573124542</v>
      </c>
      <c r="X81" s="7">
        <v>8.0453464984457934E-3</v>
      </c>
      <c r="Y81" s="7">
        <v>2.521313259568303E-2</v>
      </c>
      <c r="Z81" s="7">
        <v>1.6808209483368808E-2</v>
      </c>
      <c r="AA81" s="7">
        <v>1.5486340699495393E-2</v>
      </c>
    </row>
    <row r="82" spans="1:84" ht="15.75" thickBot="1" x14ac:dyDescent="0.3">
      <c r="A82" s="199" t="s">
        <v>217</v>
      </c>
      <c r="B82" s="196">
        <v>64.45</v>
      </c>
      <c r="C82" s="196">
        <v>64.42</v>
      </c>
      <c r="D82" s="196">
        <v>64.7</v>
      </c>
      <c r="E82" s="196">
        <v>65.33</v>
      </c>
      <c r="F82" s="196">
        <v>64.209999999999994</v>
      </c>
      <c r="G82" s="196">
        <v>64.510000000000005</v>
      </c>
      <c r="H82" s="196"/>
      <c r="I82" s="7">
        <f t="shared" si="7"/>
        <v>9.7372488408036251E-3</v>
      </c>
      <c r="J82" s="7">
        <f t="shared" si="8"/>
        <v>-1.7143731823052288E-2</v>
      </c>
      <c r="K82" s="199" t="s">
        <v>217</v>
      </c>
      <c r="L82" s="197">
        <f t="shared" si="5"/>
        <v>2.2933711946666603E-4</v>
      </c>
      <c r="M82" s="7">
        <f t="shared" si="6"/>
        <v>-4.6547711404187897E-4</v>
      </c>
      <c r="N82" s="7">
        <f t="shared" si="6"/>
        <v>4.3464762496119302E-3</v>
      </c>
      <c r="O82" s="7">
        <f t="shared" si="6"/>
        <v>9.7372488408036251E-3</v>
      </c>
      <c r="P82" s="7">
        <f t="shared" si="6"/>
        <v>-1.7143731823052288E-2</v>
      </c>
      <c r="Q82" s="7">
        <f t="shared" si="6"/>
        <v>4.6721694440119421E-3</v>
      </c>
      <c r="S82" s="7">
        <v>1.4234875444839812E-2</v>
      </c>
      <c r="T82" s="7">
        <v>-7.2131147540983487E-2</v>
      </c>
      <c r="U82" s="201" t="s">
        <v>49</v>
      </c>
      <c r="V82" s="197">
        <v>-1.4388725280804881E-2</v>
      </c>
      <c r="W82" s="7">
        <v>-7.2131147540983487E-2</v>
      </c>
      <c r="X82" s="7">
        <v>-7.0671378091873294E-3</v>
      </c>
      <c r="Y82" s="7">
        <v>1.4234875444839812E-2</v>
      </c>
      <c r="Z82" s="7">
        <v>-1.0526315789473717E-2</v>
      </c>
      <c r="AA82" s="7">
        <v>3.5460992907803135E-3</v>
      </c>
    </row>
    <row r="83" spans="1:84" ht="15.75" thickBot="1" x14ac:dyDescent="0.3">
      <c r="A83" s="199" t="s">
        <v>77</v>
      </c>
      <c r="B83" s="196">
        <v>345.16</v>
      </c>
      <c r="C83" s="196">
        <v>343.2</v>
      </c>
      <c r="D83" s="196">
        <v>327.88</v>
      </c>
      <c r="E83" s="196">
        <v>329.17</v>
      </c>
      <c r="F83" s="196">
        <v>327.75</v>
      </c>
      <c r="G83" s="196">
        <v>328.3</v>
      </c>
      <c r="H83" s="196"/>
      <c r="I83" s="7">
        <f t="shared" si="7"/>
        <v>3.934366231548081E-3</v>
      </c>
      <c r="J83" s="7">
        <f t="shared" si="8"/>
        <v>-4.4638694638694632E-2</v>
      </c>
      <c r="K83" s="199" t="s">
        <v>77</v>
      </c>
      <c r="L83" s="197">
        <f t="shared" si="5"/>
        <v>-9.8037252719365368E-3</v>
      </c>
      <c r="M83" s="7">
        <f t="shared" si="6"/>
        <v>-5.6785259010314615E-3</v>
      </c>
      <c r="N83" s="7">
        <f t="shared" si="6"/>
        <v>-4.4638694638694632E-2</v>
      </c>
      <c r="O83" s="7">
        <f t="shared" si="6"/>
        <v>3.934366231548081E-3</v>
      </c>
      <c r="P83" s="7">
        <f t="shared" si="6"/>
        <v>-4.3138803657685187E-3</v>
      </c>
      <c r="Q83" s="7">
        <f t="shared" si="6"/>
        <v>1.6781083142638487E-3</v>
      </c>
      <c r="S83" s="7">
        <v>-2.2383883603807053E-3</v>
      </c>
      <c r="T83" s="7">
        <v>-3.1197420078519222E-2</v>
      </c>
      <c r="U83" s="201" t="s">
        <v>220</v>
      </c>
      <c r="V83" s="197">
        <v>-2.2864987544093541E-2</v>
      </c>
      <c r="W83" s="7">
        <v>-2.2383883603807053E-3</v>
      </c>
      <c r="X83" s="7">
        <v>-3.1197420078519222E-2</v>
      </c>
      <c r="Y83" s="7">
        <v>-2.5906360807583684E-2</v>
      </c>
      <c r="Z83" s="7">
        <v>-2.5555307926602988E-2</v>
      </c>
      <c r="AA83" s="7">
        <v>-2.9427460547381101E-2</v>
      </c>
    </row>
    <row r="84" spans="1:84" ht="15.75" thickBot="1" x14ac:dyDescent="0.3">
      <c r="A84" s="209" t="s">
        <v>76</v>
      </c>
      <c r="B84" s="196">
        <v>102.15</v>
      </c>
      <c r="C84" s="196">
        <v>102.1</v>
      </c>
      <c r="D84" s="196">
        <v>102.1</v>
      </c>
      <c r="E84" s="196">
        <v>102.6</v>
      </c>
      <c r="F84" s="196">
        <v>102.85</v>
      </c>
      <c r="G84" s="196">
        <v>101.4</v>
      </c>
      <c r="H84" s="196"/>
      <c r="I84" s="7">
        <f t="shared" si="7"/>
        <v>4.8971596474045587E-3</v>
      </c>
      <c r="J84" s="7">
        <f t="shared" si="8"/>
        <v>-1.409820126397654E-2</v>
      </c>
      <c r="K84" s="209" t="s">
        <v>76</v>
      </c>
      <c r="L84" s="197">
        <f t="shared" si="5"/>
        <v>-1.4507741406968311E-3</v>
      </c>
      <c r="M84" s="210">
        <f t="shared" si="6"/>
        <v>-4.8947626040152237E-4</v>
      </c>
      <c r="N84" s="210">
        <f t="shared" si="6"/>
        <v>0</v>
      </c>
      <c r="O84" s="210">
        <f t="shared" si="6"/>
        <v>4.8971596474045587E-3</v>
      </c>
      <c r="P84" s="210">
        <f t="shared" si="6"/>
        <v>2.436647173489348E-3</v>
      </c>
      <c r="Q84" s="210">
        <f t="shared" si="6"/>
        <v>-1.409820126397654E-2</v>
      </c>
      <c r="S84" s="7">
        <v>4.0563620836893133E-3</v>
      </c>
      <c r="T84" s="7">
        <v>-0.15116489073505512</v>
      </c>
      <c r="U84" s="211" t="s">
        <v>78</v>
      </c>
      <c r="V84" s="197">
        <v>-2.9486869030879648E-2</v>
      </c>
      <c r="W84" s="210">
        <v>3.0797101449275832E-3</v>
      </c>
      <c r="X84" s="210">
        <v>-0.15116489073505512</v>
      </c>
      <c r="Y84" s="210">
        <v>-2.9787234042553123E-3</v>
      </c>
      <c r="Z84" s="210">
        <v>-4.2680324370469869E-4</v>
      </c>
      <c r="AA84" s="210">
        <v>4.0563620836893133E-3</v>
      </c>
    </row>
    <row r="85" spans="1:84" x14ac:dyDescent="0.25">
      <c r="B85" s="196"/>
      <c r="C85" s="196"/>
      <c r="D85" s="196"/>
      <c r="E85" s="196"/>
      <c r="F85" s="196"/>
      <c r="G85" s="196"/>
      <c r="L85" s="7"/>
      <c r="M85" s="7"/>
      <c r="N85" s="7"/>
      <c r="O85" s="7"/>
      <c r="P85" s="7"/>
      <c r="Q85" s="7"/>
    </row>
    <row r="86" spans="1:84" x14ac:dyDescent="0.25">
      <c r="A86" s="188">
        <f>COUNTA(A3:A84)</f>
        <v>82</v>
      </c>
      <c r="B86" s="212"/>
      <c r="C86" s="212"/>
      <c r="F86" s="212"/>
      <c r="I86" s="7">
        <f t="shared" ref="I86:J86" si="9">AVERAGE(I3:I84)</f>
        <v>1.6615968847390635E-2</v>
      </c>
      <c r="J86" s="7">
        <f t="shared" si="9"/>
        <v>-2.0208413002337132E-2</v>
      </c>
      <c r="K86" s="188">
        <f>COUNTA(K3:K84)</f>
        <v>82</v>
      </c>
      <c r="L86" s="7">
        <f>AVERAGE(L3:L84)</f>
        <v>-6.4399021145163842E-4</v>
      </c>
      <c r="M86" s="7">
        <f t="shared" ref="M86:Q86" si="10">AVERAGE(M3:M84)</f>
        <v>-3.5699467691606662E-3</v>
      </c>
      <c r="N86" s="7">
        <f t="shared" si="10"/>
        <v>-1.3304454640148725E-3</v>
      </c>
      <c r="O86" s="7">
        <f t="shared" si="10"/>
        <v>-7.436167797471257E-4</v>
      </c>
      <c r="P86" s="7">
        <f t="shared" si="10"/>
        <v>1.2046851855393787E-5</v>
      </c>
      <c r="Q86" s="7">
        <f t="shared" si="10"/>
        <v>2.4120111038090776E-3</v>
      </c>
    </row>
    <row r="87" spans="1:84" x14ac:dyDescent="0.25">
      <c r="B87" s="213" t="s">
        <v>222</v>
      </c>
      <c r="C87" s="214"/>
      <c r="E87" t="s">
        <v>223</v>
      </c>
      <c r="F87" t="s">
        <v>224</v>
      </c>
      <c r="G87" t="s">
        <v>225</v>
      </c>
      <c r="H87" t="s">
        <v>226</v>
      </c>
      <c r="I87" s="215">
        <f>+I86-J86</f>
        <v>3.6824381849727764E-2</v>
      </c>
      <c r="J87" s="215"/>
    </row>
    <row r="88" spans="1:84" x14ac:dyDescent="0.25">
      <c r="B88" s="216" t="s">
        <v>227</v>
      </c>
      <c r="C88" s="217"/>
      <c r="E88" t="s">
        <v>228</v>
      </c>
      <c r="F88" t="s">
        <v>229</v>
      </c>
      <c r="G88" t="s">
        <v>230</v>
      </c>
      <c r="H88" t="s">
        <v>231</v>
      </c>
    </row>
    <row r="89" spans="1:84" x14ac:dyDescent="0.25">
      <c r="B89" s="218" t="s">
        <v>232</v>
      </c>
      <c r="C89" s="219"/>
      <c r="E89" t="s">
        <v>233</v>
      </c>
      <c r="F89" t="s">
        <v>234</v>
      </c>
      <c r="G89" t="s">
        <v>235</v>
      </c>
      <c r="H89" t="s">
        <v>236</v>
      </c>
      <c r="I89" t="s">
        <v>237</v>
      </c>
    </row>
    <row r="90" spans="1:84" x14ac:dyDescent="0.25">
      <c r="E90" t="s">
        <v>238</v>
      </c>
      <c r="F90" t="s">
        <v>239</v>
      </c>
      <c r="G90" t="s">
        <v>240</v>
      </c>
      <c r="H90" t="s">
        <v>241</v>
      </c>
      <c r="I90" t="s">
        <v>242</v>
      </c>
    </row>
    <row r="91" spans="1:84" ht="15.75" thickBot="1" x14ac:dyDescent="0.3"/>
    <row r="92" spans="1:84" ht="15.75" thickBot="1" x14ac:dyDescent="0.3">
      <c r="A92" s="195" t="s">
        <v>50</v>
      </c>
      <c r="B92" s="199" t="s">
        <v>23</v>
      </c>
      <c r="C92" s="201" t="s">
        <v>39</v>
      </c>
      <c r="D92" s="201" t="s">
        <v>24</v>
      </c>
      <c r="E92" s="201" t="s">
        <v>54</v>
      </c>
      <c r="F92" s="199" t="s">
        <v>15</v>
      </c>
      <c r="G92" s="201" t="s">
        <v>18</v>
      </c>
      <c r="H92" s="201" t="s">
        <v>27</v>
      </c>
      <c r="I92" s="201" t="s">
        <v>79</v>
      </c>
      <c r="J92" s="199" t="s">
        <v>25</v>
      </c>
      <c r="K92" s="199" t="s">
        <v>51</v>
      </c>
      <c r="L92" s="201" t="s">
        <v>45</v>
      </c>
      <c r="M92" s="201" t="s">
        <v>46</v>
      </c>
      <c r="N92" s="201" t="s">
        <v>37</v>
      </c>
      <c r="O92" s="201" t="s">
        <v>73</v>
      </c>
      <c r="P92" s="201" t="s">
        <v>58</v>
      </c>
      <c r="Q92" s="201" t="s">
        <v>32</v>
      </c>
      <c r="R92" s="201" t="s">
        <v>86</v>
      </c>
      <c r="S92" s="201" t="s">
        <v>14</v>
      </c>
      <c r="T92" s="199" t="s">
        <v>89</v>
      </c>
      <c r="U92" s="199" t="s">
        <v>94</v>
      </c>
      <c r="V92" s="201" t="s">
        <v>53</v>
      </c>
      <c r="W92" s="201" t="s">
        <v>69</v>
      </c>
      <c r="X92" s="201" t="s">
        <v>71</v>
      </c>
      <c r="Y92" s="201" t="s">
        <v>68</v>
      </c>
      <c r="Z92" s="199" t="s">
        <v>34</v>
      </c>
      <c r="AA92" s="201" t="s">
        <v>67</v>
      </c>
      <c r="AB92" s="201" t="s">
        <v>33</v>
      </c>
      <c r="AC92" s="199" t="s">
        <v>28</v>
      </c>
      <c r="AD92" s="201" t="s">
        <v>44</v>
      </c>
      <c r="AE92" s="201" t="s">
        <v>90</v>
      </c>
      <c r="AF92" s="201" t="s">
        <v>56</v>
      </c>
      <c r="AG92" s="201" t="s">
        <v>21</v>
      </c>
      <c r="AH92" s="201" t="s">
        <v>35</v>
      </c>
      <c r="AI92" s="201" t="s">
        <v>75</v>
      </c>
      <c r="AJ92" s="201" t="s">
        <v>216</v>
      </c>
      <c r="AK92" s="201" t="s">
        <v>26</v>
      </c>
      <c r="AL92" s="201" t="s">
        <v>41</v>
      </c>
      <c r="AM92" s="201" t="s">
        <v>70</v>
      </c>
      <c r="AN92" s="201" t="s">
        <v>52</v>
      </c>
      <c r="AO92" s="201" t="s">
        <v>47</v>
      </c>
      <c r="AP92" s="199" t="s">
        <v>218</v>
      </c>
      <c r="AQ92" s="199" t="s">
        <v>85</v>
      </c>
      <c r="AR92" s="201" t="s">
        <v>55</v>
      </c>
      <c r="AS92" s="201" t="s">
        <v>74</v>
      </c>
      <c r="AT92" s="201" t="s">
        <v>72</v>
      </c>
      <c r="AU92" s="201" t="s">
        <v>83</v>
      </c>
      <c r="AV92" s="201" t="s">
        <v>16</v>
      </c>
      <c r="AW92" s="201" t="s">
        <v>80</v>
      </c>
      <c r="AX92" s="199" t="s">
        <v>13</v>
      </c>
      <c r="AY92" s="201" t="s">
        <v>38</v>
      </c>
      <c r="AZ92" s="201" t="s">
        <v>29</v>
      </c>
      <c r="BA92" s="201" t="s">
        <v>43</v>
      </c>
      <c r="BB92" s="199" t="s">
        <v>220</v>
      </c>
      <c r="BC92" s="201" t="s">
        <v>19</v>
      </c>
      <c r="BD92" s="199" t="s">
        <v>87</v>
      </c>
      <c r="BE92" s="201" t="s">
        <v>20</v>
      </c>
      <c r="BF92" s="201" t="s">
        <v>93</v>
      </c>
      <c r="BG92" s="199" t="s">
        <v>215</v>
      </c>
      <c r="BH92" s="201" t="s">
        <v>88</v>
      </c>
      <c r="BI92" s="199" t="s">
        <v>219</v>
      </c>
      <c r="BJ92" s="201" t="s">
        <v>82</v>
      </c>
      <c r="BK92" s="201" t="s">
        <v>42</v>
      </c>
      <c r="BL92" s="201" t="s">
        <v>40</v>
      </c>
      <c r="BM92" s="201" t="s">
        <v>30</v>
      </c>
      <c r="BN92" s="201" t="s">
        <v>57</v>
      </c>
      <c r="BO92" s="201" t="s">
        <v>84</v>
      </c>
      <c r="BP92" s="201" t="s">
        <v>36</v>
      </c>
      <c r="BQ92" s="199" t="s">
        <v>221</v>
      </c>
      <c r="BR92" s="201" t="s">
        <v>22</v>
      </c>
      <c r="BS92" s="201" t="s">
        <v>17</v>
      </c>
      <c r="BT92" s="199" t="s">
        <v>78</v>
      </c>
      <c r="BU92" s="199" t="s">
        <v>31</v>
      </c>
      <c r="BV92" s="201" t="s">
        <v>91</v>
      </c>
      <c r="BW92" s="201" t="s">
        <v>81</v>
      </c>
      <c r="BX92" s="201" t="s">
        <v>48</v>
      </c>
      <c r="BY92" s="201" t="s">
        <v>214</v>
      </c>
      <c r="BZ92" s="201" t="s">
        <v>92</v>
      </c>
      <c r="CA92" s="201" t="s">
        <v>49</v>
      </c>
      <c r="CB92" s="199" t="s">
        <v>217</v>
      </c>
      <c r="CC92" s="199" t="s">
        <v>77</v>
      </c>
      <c r="CD92" s="209" t="s">
        <v>76</v>
      </c>
      <c r="CF92">
        <f>COUNTA(A92:CD92)</f>
        <v>82</v>
      </c>
    </row>
    <row r="93" spans="1:84" ht="30.75" thickBot="1" x14ac:dyDescent="0.3">
      <c r="A93" s="220" t="s">
        <v>243</v>
      </c>
      <c r="B93" s="220" t="s">
        <v>244</v>
      </c>
      <c r="C93" s="221" t="s">
        <v>245</v>
      </c>
      <c r="D93" s="221" t="s">
        <v>246</v>
      </c>
      <c r="E93" s="221" t="s">
        <v>247</v>
      </c>
      <c r="F93" s="222" t="s">
        <v>15</v>
      </c>
      <c r="G93" s="223" t="s">
        <v>248</v>
      </c>
      <c r="H93" s="221" t="s">
        <v>249</v>
      </c>
      <c r="I93" s="221" t="s">
        <v>250</v>
      </c>
      <c r="J93" s="222" t="s">
        <v>25</v>
      </c>
      <c r="K93" s="222" t="s">
        <v>251</v>
      </c>
      <c r="L93" s="224" t="s">
        <v>45</v>
      </c>
      <c r="M93" s="224" t="s">
        <v>46</v>
      </c>
      <c r="N93" s="221" t="s">
        <v>252</v>
      </c>
      <c r="O93" s="221" t="s">
        <v>253</v>
      </c>
      <c r="P93" s="223" t="s">
        <v>254</v>
      </c>
      <c r="Q93" s="221" t="s">
        <v>255</v>
      </c>
      <c r="R93" s="221" t="s">
        <v>256</v>
      </c>
      <c r="S93" s="221" t="s">
        <v>257</v>
      </c>
      <c r="T93" s="222" t="s">
        <v>89</v>
      </c>
      <c r="U93" s="222" t="s">
        <v>94</v>
      </c>
      <c r="V93" s="221" t="s">
        <v>258</v>
      </c>
      <c r="W93" s="221" t="s">
        <v>259</v>
      </c>
      <c r="X93" s="221" t="s">
        <v>260</v>
      </c>
      <c r="Y93" s="221" t="s">
        <v>261</v>
      </c>
      <c r="Z93" s="222" t="s">
        <v>34</v>
      </c>
      <c r="AA93" s="221" t="s">
        <v>262</v>
      </c>
      <c r="AB93" s="224" t="s">
        <v>33</v>
      </c>
      <c r="AC93" s="220" t="s">
        <v>263</v>
      </c>
      <c r="AD93" s="221" t="s">
        <v>264</v>
      </c>
      <c r="AE93" s="223" t="s">
        <v>265</v>
      </c>
      <c r="AF93" s="224" t="s">
        <v>56</v>
      </c>
      <c r="AG93" s="225" t="s">
        <v>266</v>
      </c>
      <c r="AH93" s="224" t="s">
        <v>35</v>
      </c>
      <c r="AI93" s="221" t="s">
        <v>267</v>
      </c>
      <c r="AJ93" s="223" t="s">
        <v>268</v>
      </c>
      <c r="AK93" s="221" t="s">
        <v>269</v>
      </c>
      <c r="AL93" s="221" t="s">
        <v>270</v>
      </c>
      <c r="AM93" s="221" t="s">
        <v>271</v>
      </c>
      <c r="AN93" s="221" t="s">
        <v>272</v>
      </c>
      <c r="AO93" s="224" t="s">
        <v>47</v>
      </c>
      <c r="AP93" s="226" t="s">
        <v>273</v>
      </c>
      <c r="AQ93" s="222" t="s">
        <v>85</v>
      </c>
      <c r="AR93" s="224" t="s">
        <v>55</v>
      </c>
      <c r="AS93" s="221" t="s">
        <v>274</v>
      </c>
      <c r="AT93" s="221" t="s">
        <v>275</v>
      </c>
      <c r="AU93" s="224" t="s">
        <v>83</v>
      </c>
      <c r="AV93" s="223" t="s">
        <v>276</v>
      </c>
      <c r="AW93" s="221" t="s">
        <v>277</v>
      </c>
      <c r="AX93" s="222" t="s">
        <v>13</v>
      </c>
      <c r="AY93" s="223" t="s">
        <v>38</v>
      </c>
      <c r="AZ93" s="224" t="s">
        <v>278</v>
      </c>
      <c r="BA93" s="224" t="s">
        <v>43</v>
      </c>
      <c r="BB93" s="222" t="s">
        <v>220</v>
      </c>
      <c r="BC93" s="221" t="s">
        <v>279</v>
      </c>
      <c r="BD93" s="222" t="s">
        <v>87</v>
      </c>
      <c r="BE93" s="224" t="s">
        <v>20</v>
      </c>
      <c r="BF93" s="221" t="s">
        <v>280</v>
      </c>
      <c r="BG93" s="222" t="s">
        <v>215</v>
      </c>
      <c r="BH93" s="224" t="s">
        <v>88</v>
      </c>
      <c r="BI93" s="222" t="s">
        <v>219</v>
      </c>
      <c r="BJ93" s="221" t="s">
        <v>281</v>
      </c>
      <c r="BK93" s="221" t="s">
        <v>282</v>
      </c>
      <c r="BL93" s="223" t="s">
        <v>283</v>
      </c>
      <c r="BM93" s="224" t="s">
        <v>30</v>
      </c>
      <c r="BN93" s="221" t="s">
        <v>284</v>
      </c>
      <c r="BO93" s="221" t="s">
        <v>285</v>
      </c>
      <c r="BP93" s="221" t="s">
        <v>286</v>
      </c>
      <c r="BQ93" s="222" t="s">
        <v>221</v>
      </c>
      <c r="BR93" s="221" t="s">
        <v>287</v>
      </c>
      <c r="BS93" s="221" t="s">
        <v>288</v>
      </c>
      <c r="BT93" s="226" t="s">
        <v>289</v>
      </c>
      <c r="BU93" s="220" t="s">
        <v>290</v>
      </c>
      <c r="BV93" s="221" t="s">
        <v>291</v>
      </c>
      <c r="BW93" s="221" t="s">
        <v>292</v>
      </c>
      <c r="BX93" s="221" t="s">
        <v>293</v>
      </c>
      <c r="BY93" s="221" t="s">
        <v>294</v>
      </c>
      <c r="BZ93" s="221" t="s">
        <v>295</v>
      </c>
      <c r="CA93" s="223" t="s">
        <v>296</v>
      </c>
      <c r="CB93" s="226" t="s">
        <v>297</v>
      </c>
      <c r="CC93" s="222" t="s">
        <v>77</v>
      </c>
      <c r="CD93" s="221" t="s">
        <v>298</v>
      </c>
      <c r="CF93">
        <f t="shared" ref="CF93:CF94" si="11">COUNTA(A93:CD93)</f>
        <v>82</v>
      </c>
    </row>
    <row r="94" spans="1:84" ht="15.75" thickBot="1" x14ac:dyDescent="0.3">
      <c r="A94" s="227" t="s">
        <v>299</v>
      </c>
      <c r="B94" s="228">
        <v>591400</v>
      </c>
      <c r="C94" s="228">
        <v>132500</v>
      </c>
      <c r="D94" s="228">
        <v>2168000</v>
      </c>
      <c r="E94" s="228">
        <v>1050800</v>
      </c>
      <c r="F94" s="228">
        <v>790000</v>
      </c>
      <c r="G94" s="228">
        <v>132200</v>
      </c>
      <c r="H94" s="227" t="s">
        <v>300</v>
      </c>
      <c r="I94" s="228">
        <v>608000</v>
      </c>
      <c r="J94" s="228">
        <v>2391200</v>
      </c>
      <c r="K94" s="227" t="s">
        <v>301</v>
      </c>
      <c r="L94" s="228">
        <v>2476800</v>
      </c>
      <c r="M94" s="228">
        <v>1134100</v>
      </c>
      <c r="N94" s="228">
        <v>209500</v>
      </c>
      <c r="O94" s="228">
        <v>142400</v>
      </c>
      <c r="P94" s="228">
        <v>281000</v>
      </c>
      <c r="Q94" s="228">
        <v>107100</v>
      </c>
      <c r="R94" s="227" t="s">
        <v>302</v>
      </c>
      <c r="S94" s="228">
        <v>139800</v>
      </c>
      <c r="T94" s="228">
        <v>4538800</v>
      </c>
      <c r="U94" s="228">
        <v>1190200</v>
      </c>
      <c r="V94" s="228">
        <v>384500</v>
      </c>
      <c r="W94" s="228">
        <v>184000</v>
      </c>
      <c r="X94" s="228">
        <v>308800</v>
      </c>
      <c r="Y94" s="228">
        <v>138900</v>
      </c>
      <c r="Z94" s="228">
        <v>3437500</v>
      </c>
      <c r="AA94" s="228">
        <v>585600</v>
      </c>
      <c r="AB94" s="228">
        <v>3673800</v>
      </c>
      <c r="AC94" s="228">
        <v>3303400</v>
      </c>
      <c r="AD94" s="228">
        <v>915000</v>
      </c>
      <c r="AE94" s="228">
        <v>926000</v>
      </c>
      <c r="AF94" s="228">
        <v>4259000</v>
      </c>
      <c r="AG94" s="228">
        <v>193600</v>
      </c>
      <c r="AH94" s="228">
        <v>2193900</v>
      </c>
      <c r="AI94" s="228">
        <v>47400</v>
      </c>
      <c r="AJ94" s="227" t="s">
        <v>303</v>
      </c>
      <c r="AK94" s="228">
        <v>185700</v>
      </c>
      <c r="AL94" s="228">
        <v>582500</v>
      </c>
      <c r="AM94" s="228">
        <v>11300</v>
      </c>
      <c r="AN94" s="228">
        <v>588800</v>
      </c>
      <c r="AO94" s="228">
        <v>3464600</v>
      </c>
      <c r="AP94" s="227" t="s">
        <v>304</v>
      </c>
      <c r="AQ94" s="227" t="s">
        <v>305</v>
      </c>
      <c r="AR94" s="228">
        <v>5824300</v>
      </c>
      <c r="AS94" s="228">
        <v>42500</v>
      </c>
      <c r="AT94" s="228">
        <v>77800</v>
      </c>
      <c r="AU94" s="228">
        <v>6202500</v>
      </c>
      <c r="AV94" s="228">
        <v>960200</v>
      </c>
      <c r="AW94" s="228">
        <v>124900</v>
      </c>
      <c r="AX94" s="228">
        <v>4598600</v>
      </c>
      <c r="AY94" s="228">
        <v>487300</v>
      </c>
      <c r="AZ94" s="228">
        <v>3862000</v>
      </c>
      <c r="BA94" s="228">
        <v>6669000</v>
      </c>
      <c r="BB94" s="228">
        <v>1273100</v>
      </c>
      <c r="BC94" s="228">
        <v>257000</v>
      </c>
      <c r="BD94" s="228">
        <v>1862300</v>
      </c>
      <c r="BE94" s="228">
        <v>180000</v>
      </c>
      <c r="BF94" s="227" t="s">
        <v>306</v>
      </c>
      <c r="BG94" s="228">
        <v>1445300</v>
      </c>
      <c r="BH94" s="228">
        <v>1709600</v>
      </c>
      <c r="BI94" s="228">
        <v>568900</v>
      </c>
      <c r="BJ94" s="228">
        <v>157000</v>
      </c>
      <c r="BK94" s="228">
        <v>722000</v>
      </c>
      <c r="BL94" s="227" t="s">
        <v>307</v>
      </c>
      <c r="BM94" s="228">
        <v>2019200</v>
      </c>
      <c r="BN94" s="228">
        <v>7078000</v>
      </c>
      <c r="BO94" s="228">
        <v>32400</v>
      </c>
      <c r="BP94" s="228">
        <v>105400</v>
      </c>
      <c r="BQ94" s="228">
        <v>2335900</v>
      </c>
      <c r="BR94" s="228">
        <v>40200</v>
      </c>
      <c r="BS94" s="228">
        <v>177700</v>
      </c>
      <c r="BT94" s="228">
        <v>2351500</v>
      </c>
      <c r="BU94" s="227" t="s">
        <v>308</v>
      </c>
      <c r="BV94" s="228">
        <v>24700</v>
      </c>
      <c r="BW94" s="228">
        <v>33400</v>
      </c>
      <c r="BX94" s="228">
        <v>103200</v>
      </c>
      <c r="BY94" s="228">
        <v>309400</v>
      </c>
      <c r="BZ94" s="228">
        <v>33500</v>
      </c>
      <c r="CA94" s="228">
        <v>28300</v>
      </c>
      <c r="CB94" s="228">
        <v>645100</v>
      </c>
      <c r="CC94" s="228">
        <v>3283000</v>
      </c>
      <c r="CD94" s="228">
        <v>1014000</v>
      </c>
      <c r="CE94" s="229"/>
      <c r="CF94">
        <f t="shared" si="11"/>
        <v>82</v>
      </c>
    </row>
    <row r="95" spans="1:84" x14ac:dyDescent="0.25">
      <c r="A95">
        <f>VALUE(SUBSTITUTE(A94,",",""))</f>
        <v>19065000</v>
      </c>
      <c r="B95" s="230" t="str">
        <f t="shared" ref="B95:BM95" si="12">_xlfn.VALUETOTEXT(B94)</f>
        <v>591400</v>
      </c>
      <c r="C95" s="230" t="str">
        <f t="shared" si="12"/>
        <v>132500</v>
      </c>
      <c r="D95" s="230" t="str">
        <f t="shared" si="12"/>
        <v>2168000</v>
      </c>
      <c r="E95" s="230" t="str">
        <f t="shared" si="12"/>
        <v>1050800</v>
      </c>
      <c r="F95" s="230" t="str">
        <f t="shared" si="12"/>
        <v>790000</v>
      </c>
      <c r="G95" s="230" t="str">
        <f t="shared" si="12"/>
        <v>132200</v>
      </c>
      <c r="H95" s="230">
        <f>_xlfn.NUMBERVALUE(H94)</f>
        <v>1800</v>
      </c>
      <c r="I95" s="230" t="str">
        <f t="shared" si="12"/>
        <v>608000</v>
      </c>
      <c r="J95" s="230" t="str">
        <f t="shared" si="12"/>
        <v>2391200</v>
      </c>
      <c r="K95">
        <f>VALUE(SUBSTITUTE(K94,",",""))</f>
        <v>11672000</v>
      </c>
      <c r="L95" s="230" t="str">
        <f t="shared" si="12"/>
        <v>2476800</v>
      </c>
      <c r="M95" s="230" t="str">
        <f t="shared" si="12"/>
        <v>1134100</v>
      </c>
      <c r="N95" s="230" t="str">
        <f t="shared" si="12"/>
        <v>209500</v>
      </c>
      <c r="O95" s="230" t="str">
        <f t="shared" si="12"/>
        <v>142400</v>
      </c>
      <c r="P95" s="230" t="str">
        <f t="shared" si="12"/>
        <v>281000</v>
      </c>
      <c r="Q95" s="230" t="str">
        <f t="shared" si="12"/>
        <v>107100</v>
      </c>
      <c r="R95" s="230">
        <f>_xlfn.NUMBERVALUE(R94)</f>
        <v>6200</v>
      </c>
      <c r="S95" s="230" t="str">
        <f t="shared" si="12"/>
        <v>139800</v>
      </c>
      <c r="T95" s="230" t="str">
        <f t="shared" si="12"/>
        <v>4538800</v>
      </c>
      <c r="U95" s="230" t="str">
        <f t="shared" si="12"/>
        <v>1190200</v>
      </c>
      <c r="V95" s="230" t="str">
        <f t="shared" si="12"/>
        <v>384500</v>
      </c>
      <c r="W95" s="230" t="str">
        <f t="shared" si="12"/>
        <v>184000</v>
      </c>
      <c r="X95" s="230" t="str">
        <f t="shared" si="12"/>
        <v>308800</v>
      </c>
      <c r="Y95" s="230" t="str">
        <f t="shared" si="12"/>
        <v>138900</v>
      </c>
      <c r="Z95" s="230" t="str">
        <f t="shared" si="12"/>
        <v>3437500</v>
      </c>
      <c r="AA95" s="230" t="str">
        <f t="shared" si="12"/>
        <v>585600</v>
      </c>
      <c r="AB95" s="230" t="str">
        <f t="shared" si="12"/>
        <v>3673800</v>
      </c>
      <c r="AC95" s="230" t="str">
        <f t="shared" si="12"/>
        <v>3303400</v>
      </c>
      <c r="AD95" s="230" t="str">
        <f t="shared" si="12"/>
        <v>915000</v>
      </c>
      <c r="AE95" s="230" t="str">
        <f t="shared" si="12"/>
        <v>926000</v>
      </c>
      <c r="AF95" s="230" t="str">
        <f t="shared" si="12"/>
        <v>4259000</v>
      </c>
      <c r="AG95" s="230" t="str">
        <f t="shared" si="12"/>
        <v>193600</v>
      </c>
      <c r="AH95" s="230" t="str">
        <f t="shared" si="12"/>
        <v>2193900</v>
      </c>
      <c r="AI95" s="230" t="str">
        <f t="shared" si="12"/>
        <v>47400</v>
      </c>
      <c r="AJ95">
        <f>VALUE(SUBSTITUTE(AJ94,",",""))</f>
        <v>177109000</v>
      </c>
      <c r="AK95" s="230" t="str">
        <f t="shared" si="12"/>
        <v>185700</v>
      </c>
      <c r="AL95" s="230" t="str">
        <f t="shared" si="12"/>
        <v>582500</v>
      </c>
      <c r="AM95" s="230" t="str">
        <f t="shared" si="12"/>
        <v>11300</v>
      </c>
      <c r="AN95" s="230" t="str">
        <f t="shared" si="12"/>
        <v>588800</v>
      </c>
      <c r="AO95" s="230" t="str">
        <f t="shared" si="12"/>
        <v>3464600</v>
      </c>
      <c r="AP95">
        <f>VALUE(SUBSTITUTE(AP94,",",""))</f>
        <v>61050500</v>
      </c>
      <c r="AQ95">
        <f>VALUE(SUBSTITUTE(AQ94,",",""))</f>
        <v>10384000</v>
      </c>
      <c r="AR95" s="230" t="str">
        <f t="shared" si="12"/>
        <v>5824300</v>
      </c>
      <c r="AS95" s="230" t="str">
        <f t="shared" si="12"/>
        <v>42500</v>
      </c>
      <c r="AT95" s="230" t="str">
        <f t="shared" si="12"/>
        <v>77800</v>
      </c>
      <c r="AU95" s="230" t="str">
        <f t="shared" si="12"/>
        <v>6202500</v>
      </c>
      <c r="AV95" s="230" t="str">
        <f t="shared" si="12"/>
        <v>960200</v>
      </c>
      <c r="AW95" s="230" t="str">
        <f t="shared" si="12"/>
        <v>124900</v>
      </c>
      <c r="AX95" s="230" t="str">
        <f t="shared" si="12"/>
        <v>4598600</v>
      </c>
      <c r="AY95" s="230" t="str">
        <f t="shared" si="12"/>
        <v>487300</v>
      </c>
      <c r="AZ95" s="230" t="str">
        <f t="shared" si="12"/>
        <v>3862000</v>
      </c>
      <c r="BA95" s="230" t="str">
        <f t="shared" si="12"/>
        <v>6669000</v>
      </c>
      <c r="BB95" s="230" t="str">
        <f t="shared" si="12"/>
        <v>1273100</v>
      </c>
      <c r="BC95" s="230" t="str">
        <f t="shared" si="12"/>
        <v>257000</v>
      </c>
      <c r="BD95" s="230" t="str">
        <f t="shared" si="12"/>
        <v>1862300</v>
      </c>
      <c r="BE95" s="230" t="str">
        <f t="shared" si="12"/>
        <v>180000</v>
      </c>
      <c r="BF95" s="230">
        <f>_xlfn.NUMBERVALUE(BF94)</f>
        <v>3600</v>
      </c>
      <c r="BG95" s="230" t="str">
        <f t="shared" si="12"/>
        <v>1445300</v>
      </c>
      <c r="BH95" s="230" t="str">
        <f t="shared" si="12"/>
        <v>1709600</v>
      </c>
      <c r="BI95" s="230" t="str">
        <f t="shared" si="12"/>
        <v>568900</v>
      </c>
      <c r="BJ95" s="230" t="str">
        <f t="shared" si="12"/>
        <v>157000</v>
      </c>
      <c r="BK95" s="230" t="str">
        <f t="shared" si="12"/>
        <v>722000</v>
      </c>
      <c r="BL95">
        <f>VALUE(SUBSTITUTE(BL94,",",""))</f>
        <v>12855000</v>
      </c>
      <c r="BM95" s="230" t="str">
        <f t="shared" si="12"/>
        <v>2019200</v>
      </c>
      <c r="BN95" s="230" t="str">
        <f t="shared" ref="BN95:CD95" si="13">_xlfn.VALUETOTEXT(BN94)</f>
        <v>7078000</v>
      </c>
      <c r="BO95" s="230" t="str">
        <f t="shared" si="13"/>
        <v>32400</v>
      </c>
      <c r="BP95" s="230" t="str">
        <f t="shared" si="13"/>
        <v>105400</v>
      </c>
      <c r="BQ95" s="230" t="str">
        <f t="shared" si="13"/>
        <v>2335900</v>
      </c>
      <c r="BR95" s="230" t="str">
        <f t="shared" si="13"/>
        <v>40200</v>
      </c>
      <c r="BS95" s="230" t="str">
        <f t="shared" si="13"/>
        <v>177700</v>
      </c>
      <c r="BT95" s="230" t="str">
        <f t="shared" si="13"/>
        <v>2351500</v>
      </c>
      <c r="BU95">
        <f>VALUE(SUBSTITUTE(BU94,",",""))</f>
        <v>71850000</v>
      </c>
      <c r="BV95" s="230" t="str">
        <f t="shared" si="13"/>
        <v>24700</v>
      </c>
      <c r="BW95" s="230" t="str">
        <f t="shared" si="13"/>
        <v>33400</v>
      </c>
      <c r="BX95" s="230" t="str">
        <f t="shared" si="13"/>
        <v>103200</v>
      </c>
      <c r="BY95" s="230" t="str">
        <f t="shared" si="13"/>
        <v>309400</v>
      </c>
      <c r="BZ95" s="230" t="str">
        <f t="shared" si="13"/>
        <v>33500</v>
      </c>
      <c r="CA95" s="230" t="str">
        <f t="shared" si="13"/>
        <v>28300</v>
      </c>
      <c r="CB95" s="230" t="str">
        <f t="shared" si="13"/>
        <v>645100</v>
      </c>
      <c r="CC95" s="230" t="str">
        <f t="shared" si="13"/>
        <v>3283000</v>
      </c>
      <c r="CD95" s="230" t="str">
        <f t="shared" si="13"/>
        <v>1014000</v>
      </c>
    </row>
    <row r="96" spans="1:84" x14ac:dyDescent="0.25">
      <c r="A96" s="231">
        <f>+A95/10000</f>
        <v>1906.5</v>
      </c>
      <c r="B96" s="231">
        <f>+B95/10000</f>
        <v>59.14</v>
      </c>
      <c r="C96" s="231">
        <f t="shared" ref="C96:BN96" si="14">+C95/10000</f>
        <v>13.25</v>
      </c>
      <c r="D96" s="231">
        <f t="shared" si="14"/>
        <v>216.8</v>
      </c>
      <c r="E96" s="231">
        <f t="shared" si="14"/>
        <v>105.08</v>
      </c>
      <c r="F96" s="231">
        <f t="shared" si="14"/>
        <v>79</v>
      </c>
      <c r="G96" s="231">
        <f t="shared" si="14"/>
        <v>13.22</v>
      </c>
      <c r="H96" s="231">
        <f t="shared" si="14"/>
        <v>0.18</v>
      </c>
      <c r="I96" s="231">
        <f t="shared" si="14"/>
        <v>60.8</v>
      </c>
      <c r="J96" s="231">
        <f t="shared" si="14"/>
        <v>239.12</v>
      </c>
      <c r="K96" s="231">
        <f>+K95/10000</f>
        <v>1167.2</v>
      </c>
      <c r="L96" s="231">
        <f t="shared" si="14"/>
        <v>247.68</v>
      </c>
      <c r="M96" s="231">
        <f t="shared" si="14"/>
        <v>113.41</v>
      </c>
      <c r="N96" s="231">
        <f t="shared" si="14"/>
        <v>20.95</v>
      </c>
      <c r="O96" s="231">
        <f t="shared" si="14"/>
        <v>14.24</v>
      </c>
      <c r="P96" s="231">
        <f t="shared" si="14"/>
        <v>28.1</v>
      </c>
      <c r="Q96" s="231">
        <f t="shared" si="14"/>
        <v>10.71</v>
      </c>
      <c r="R96" s="231">
        <f t="shared" si="14"/>
        <v>0.62</v>
      </c>
      <c r="S96" s="231">
        <f t="shared" si="14"/>
        <v>13.98</v>
      </c>
      <c r="T96" s="231">
        <f t="shared" si="14"/>
        <v>453.88</v>
      </c>
      <c r="U96" s="231">
        <f t="shared" si="14"/>
        <v>119.02</v>
      </c>
      <c r="V96" s="231">
        <f t="shared" si="14"/>
        <v>38.450000000000003</v>
      </c>
      <c r="W96" s="231">
        <f t="shared" si="14"/>
        <v>18.399999999999999</v>
      </c>
      <c r="X96" s="231">
        <f t="shared" si="14"/>
        <v>30.88</v>
      </c>
      <c r="Y96" s="231">
        <f t="shared" si="14"/>
        <v>13.89</v>
      </c>
      <c r="Z96" s="231">
        <f t="shared" si="14"/>
        <v>343.75</v>
      </c>
      <c r="AA96" s="231">
        <f t="shared" si="14"/>
        <v>58.56</v>
      </c>
      <c r="AB96" s="231">
        <f t="shared" si="14"/>
        <v>367.38</v>
      </c>
      <c r="AC96" s="231">
        <f t="shared" si="14"/>
        <v>330.34</v>
      </c>
      <c r="AD96" s="231">
        <f t="shared" si="14"/>
        <v>91.5</v>
      </c>
      <c r="AE96" s="231">
        <f t="shared" si="14"/>
        <v>92.6</v>
      </c>
      <c r="AF96" s="231">
        <f t="shared" si="14"/>
        <v>425.9</v>
      </c>
      <c r="AG96" s="231">
        <f t="shared" si="14"/>
        <v>19.36</v>
      </c>
      <c r="AH96" s="231">
        <f t="shared" si="14"/>
        <v>219.39</v>
      </c>
      <c r="AI96" s="231">
        <f t="shared" si="14"/>
        <v>4.74</v>
      </c>
      <c r="AJ96" s="231">
        <f>+AJ95/10000</f>
        <v>17710.900000000001</v>
      </c>
      <c r="AK96" s="231">
        <f t="shared" si="14"/>
        <v>18.57</v>
      </c>
      <c r="AL96" s="231">
        <f t="shared" si="14"/>
        <v>58.25</v>
      </c>
      <c r="AM96" s="231">
        <f t="shared" si="14"/>
        <v>1.1299999999999999</v>
      </c>
      <c r="AN96" s="231">
        <f t="shared" si="14"/>
        <v>58.88</v>
      </c>
      <c r="AO96" s="231">
        <f t="shared" si="14"/>
        <v>346.46</v>
      </c>
      <c r="AP96" s="231">
        <f>+AP95/10000</f>
        <v>6105.05</v>
      </c>
      <c r="AQ96" s="231">
        <f>+AQ95/10000</f>
        <v>1038.4000000000001</v>
      </c>
      <c r="AR96" s="231">
        <f t="shared" si="14"/>
        <v>582.42999999999995</v>
      </c>
      <c r="AS96" s="231">
        <f t="shared" si="14"/>
        <v>4.25</v>
      </c>
      <c r="AT96" s="231">
        <f t="shared" si="14"/>
        <v>7.78</v>
      </c>
      <c r="AU96" s="231">
        <f t="shared" si="14"/>
        <v>620.25</v>
      </c>
      <c r="AV96" s="231">
        <f t="shared" si="14"/>
        <v>96.02</v>
      </c>
      <c r="AW96" s="231">
        <f t="shared" si="14"/>
        <v>12.49</v>
      </c>
      <c r="AX96" s="231">
        <f t="shared" si="14"/>
        <v>459.86</v>
      </c>
      <c r="AY96" s="231">
        <f t="shared" si="14"/>
        <v>48.73</v>
      </c>
      <c r="AZ96" s="231">
        <f t="shared" si="14"/>
        <v>386.2</v>
      </c>
      <c r="BA96" s="231">
        <f t="shared" si="14"/>
        <v>666.9</v>
      </c>
      <c r="BB96" s="231">
        <f t="shared" si="14"/>
        <v>127.31</v>
      </c>
      <c r="BC96" s="231">
        <f t="shared" si="14"/>
        <v>25.7</v>
      </c>
      <c r="BD96" s="231">
        <f t="shared" si="14"/>
        <v>186.23</v>
      </c>
      <c r="BE96" s="231">
        <f t="shared" si="14"/>
        <v>18</v>
      </c>
      <c r="BF96" s="231">
        <f t="shared" si="14"/>
        <v>0.36</v>
      </c>
      <c r="BG96" s="231">
        <f t="shared" si="14"/>
        <v>144.53</v>
      </c>
      <c r="BH96" s="231">
        <f t="shared" si="14"/>
        <v>170.96</v>
      </c>
      <c r="BI96" s="231">
        <f t="shared" si="14"/>
        <v>56.89</v>
      </c>
      <c r="BJ96" s="231">
        <f t="shared" si="14"/>
        <v>15.7</v>
      </c>
      <c r="BK96" s="231">
        <f t="shared" si="14"/>
        <v>72.2</v>
      </c>
      <c r="BL96" s="231">
        <f>+BL95/10000</f>
        <v>1285.5</v>
      </c>
      <c r="BM96" s="231">
        <f t="shared" si="14"/>
        <v>201.92</v>
      </c>
      <c r="BN96" s="231">
        <f t="shared" si="14"/>
        <v>707.8</v>
      </c>
      <c r="BO96" s="231">
        <f t="shared" ref="BO96:CD96" si="15">+BO95/10000</f>
        <v>3.24</v>
      </c>
      <c r="BP96" s="231">
        <f t="shared" si="15"/>
        <v>10.54</v>
      </c>
      <c r="BQ96" s="231">
        <f t="shared" si="15"/>
        <v>233.59</v>
      </c>
      <c r="BR96" s="231">
        <f t="shared" si="15"/>
        <v>4.0199999999999996</v>
      </c>
      <c r="BS96" s="231">
        <f t="shared" si="15"/>
        <v>17.77</v>
      </c>
      <c r="BT96" s="231">
        <f t="shared" si="15"/>
        <v>235.15</v>
      </c>
      <c r="BU96" s="231">
        <f>+BU95/10000</f>
        <v>7185</v>
      </c>
      <c r="BV96" s="231">
        <f t="shared" si="15"/>
        <v>2.4700000000000002</v>
      </c>
      <c r="BW96" s="231">
        <f t="shared" si="15"/>
        <v>3.34</v>
      </c>
      <c r="BX96" s="231">
        <f t="shared" si="15"/>
        <v>10.32</v>
      </c>
      <c r="BY96" s="231">
        <f t="shared" si="15"/>
        <v>30.94</v>
      </c>
      <c r="BZ96" s="231">
        <f t="shared" si="15"/>
        <v>3.35</v>
      </c>
      <c r="CA96" s="231">
        <f t="shared" si="15"/>
        <v>2.83</v>
      </c>
      <c r="CB96" s="231">
        <f t="shared" si="15"/>
        <v>64.510000000000005</v>
      </c>
      <c r="CC96" s="231">
        <f t="shared" si="15"/>
        <v>328.3</v>
      </c>
      <c r="CD96" s="231">
        <f t="shared" si="15"/>
        <v>101.4</v>
      </c>
    </row>
    <row r="97" spans="1:82" x14ac:dyDescent="0.25">
      <c r="A97" s="196">
        <v>1906.5</v>
      </c>
      <c r="B97" s="196">
        <v>59.14</v>
      </c>
      <c r="C97" s="196">
        <v>13.25</v>
      </c>
      <c r="D97" s="196">
        <v>216.8</v>
      </c>
      <c r="E97" s="196">
        <v>105.08</v>
      </c>
      <c r="F97" s="196">
        <v>79</v>
      </c>
      <c r="G97" s="196">
        <v>13.22</v>
      </c>
      <c r="H97" s="196">
        <v>0.18</v>
      </c>
      <c r="I97" s="196">
        <v>60.8</v>
      </c>
      <c r="J97" s="196">
        <v>239.12</v>
      </c>
      <c r="K97" s="196">
        <v>1167.2</v>
      </c>
      <c r="L97" s="196">
        <v>247.68</v>
      </c>
      <c r="M97" s="196">
        <v>113.41</v>
      </c>
      <c r="N97" s="196">
        <v>20.95</v>
      </c>
      <c r="O97" s="196">
        <v>14.24</v>
      </c>
      <c r="P97" s="196">
        <v>28.1</v>
      </c>
      <c r="Q97" s="196">
        <v>10.71</v>
      </c>
      <c r="R97" s="196">
        <v>0.62</v>
      </c>
      <c r="S97" s="196">
        <v>13.98</v>
      </c>
      <c r="T97" s="196">
        <v>453.88</v>
      </c>
      <c r="U97" s="196">
        <v>119.02</v>
      </c>
      <c r="V97" s="196">
        <v>38.450000000000003</v>
      </c>
      <c r="W97" s="196">
        <v>18.399999999999999</v>
      </c>
      <c r="X97" s="196">
        <v>30.88</v>
      </c>
      <c r="Y97" s="196">
        <v>13.89</v>
      </c>
      <c r="Z97" s="196">
        <v>343.75</v>
      </c>
      <c r="AA97" s="196">
        <v>58.56</v>
      </c>
      <c r="AB97" s="196">
        <v>367.38</v>
      </c>
      <c r="AC97" s="196">
        <v>330.34</v>
      </c>
      <c r="AD97" s="196">
        <v>91.5</v>
      </c>
      <c r="AE97" s="196">
        <v>92.6</v>
      </c>
      <c r="AF97" s="196">
        <v>425.9</v>
      </c>
      <c r="AG97" s="196">
        <v>19.36</v>
      </c>
      <c r="AH97" s="196">
        <v>219.39</v>
      </c>
      <c r="AI97" s="196">
        <v>4.74</v>
      </c>
      <c r="AJ97" s="196">
        <v>17710.900000000001</v>
      </c>
      <c r="AK97" s="196">
        <v>18.57</v>
      </c>
      <c r="AL97" s="196">
        <v>58.25</v>
      </c>
      <c r="AM97" s="196">
        <v>1.1299999999999999</v>
      </c>
      <c r="AN97" s="196">
        <v>58.88</v>
      </c>
      <c r="AO97" s="196">
        <v>346.46</v>
      </c>
      <c r="AP97" s="196">
        <v>6105.05</v>
      </c>
      <c r="AQ97" s="196">
        <v>1038.4000000000001</v>
      </c>
      <c r="AR97" s="196">
        <v>582.42999999999995</v>
      </c>
      <c r="AS97" s="196">
        <v>4.25</v>
      </c>
      <c r="AT97" s="196">
        <v>7.78</v>
      </c>
      <c r="AU97" s="196">
        <v>620.25</v>
      </c>
      <c r="AV97" s="196">
        <v>96.02</v>
      </c>
      <c r="AW97" s="196">
        <v>12.49</v>
      </c>
      <c r="AX97" s="196">
        <v>459.86</v>
      </c>
      <c r="AY97" s="196">
        <v>48.73</v>
      </c>
      <c r="AZ97" s="196">
        <v>386.2</v>
      </c>
      <c r="BA97" s="196">
        <v>666.9</v>
      </c>
      <c r="BB97" s="196">
        <v>127.31</v>
      </c>
      <c r="BC97" s="196">
        <v>25.7</v>
      </c>
      <c r="BD97" s="196">
        <v>186.23</v>
      </c>
      <c r="BE97" s="196">
        <v>18</v>
      </c>
      <c r="BF97" s="196">
        <v>0.36</v>
      </c>
      <c r="BG97" s="196">
        <v>144.53</v>
      </c>
      <c r="BH97" s="196">
        <v>170.96</v>
      </c>
      <c r="BI97" s="196">
        <v>56.89</v>
      </c>
      <c r="BJ97" s="196">
        <v>15.7</v>
      </c>
      <c r="BK97" s="196">
        <v>72.2</v>
      </c>
      <c r="BL97" s="196">
        <v>1285.5</v>
      </c>
      <c r="BM97" s="196">
        <v>201.92</v>
      </c>
      <c r="BN97" s="196">
        <v>707.8</v>
      </c>
      <c r="BO97" s="196">
        <v>3.24</v>
      </c>
      <c r="BP97" s="196">
        <v>10.54</v>
      </c>
      <c r="BQ97" s="196">
        <v>233.59</v>
      </c>
      <c r="BR97" s="196">
        <v>4.0199999999999996</v>
      </c>
      <c r="BS97" s="196">
        <v>17.77</v>
      </c>
      <c r="BT97" s="196">
        <v>235.15</v>
      </c>
      <c r="BU97" s="196">
        <v>7185</v>
      </c>
      <c r="BV97" s="196">
        <v>2.4700000000000002</v>
      </c>
      <c r="BW97" s="196">
        <v>3.34</v>
      </c>
      <c r="BX97" s="196">
        <v>10.32</v>
      </c>
      <c r="BY97" s="196">
        <v>30.94</v>
      </c>
      <c r="BZ97" s="196">
        <v>3.35</v>
      </c>
      <c r="CA97" s="196">
        <v>2.83</v>
      </c>
      <c r="CB97" s="196">
        <v>64.510000000000005</v>
      </c>
      <c r="CC97" s="196">
        <v>328.3</v>
      </c>
      <c r="CD97" s="196">
        <v>101.4</v>
      </c>
    </row>
    <row r="101" spans="1:82" x14ac:dyDescent="0.25">
      <c r="A101" s="230" t="str">
        <f t="shared" ref="A101" si="16">_xlfn.VALUETOTEXT(A100)</f>
        <v/>
      </c>
    </row>
  </sheetData>
  <mergeCells count="4">
    <mergeCell ref="B87:C87"/>
    <mergeCell ref="I87:J87"/>
    <mergeCell ref="B88:C88"/>
    <mergeCell ref="B89:C89"/>
  </mergeCells>
  <conditionalFormatting sqref="I3:J84"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I86:J8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{C9F13771-F1E1-4595-916E-E1D8AD08EA4A}</x14:id>
        </ext>
      </extLst>
    </cfRule>
  </conditionalFormatting>
  <conditionalFormatting sqref="L3:L84">
    <cfRule type="colorScale" priority="24">
      <colorScale>
        <cfvo type="min"/>
        <cfvo type="max"/>
        <color rgb="FFFCFCFF"/>
        <color rgb="FF63BE7B"/>
      </colorScale>
    </cfRule>
  </conditionalFormatting>
  <conditionalFormatting sqref="L85:Q85">
    <cfRule type="colorScale" priority="17">
      <colorScale>
        <cfvo type="min"/>
        <cfvo type="max"/>
        <color rgb="FFFCFCFF"/>
        <color rgb="FF63BE7B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L86:Q8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{5A0255E5-706C-4E0B-9545-785C7BBDAC21}</x14:id>
        </ext>
      </extLst>
    </cfRule>
  </conditionalFormatting>
  <conditionalFormatting sqref="M3:M84">
    <cfRule type="colorScale" priority="23">
      <colorScale>
        <cfvo type="min"/>
        <cfvo type="max"/>
        <color rgb="FFFCFCFF"/>
        <color rgb="FF63BE7B"/>
      </colorScale>
    </cfRule>
  </conditionalFormatting>
  <conditionalFormatting sqref="M3:O84">
    <cfRule type="colorScale" priority="25">
      <colorScale>
        <cfvo type="min"/>
        <cfvo type="max"/>
        <color rgb="FFFCFCFF"/>
        <color rgb="FF63BE7B"/>
      </colorScale>
    </cfRule>
  </conditionalFormatting>
  <conditionalFormatting sqref="N3:N84">
    <cfRule type="colorScale" priority="26">
      <colorScale>
        <cfvo type="min"/>
        <cfvo type="max"/>
        <color rgb="FFFCFCFF"/>
        <color rgb="FF63BE7B"/>
      </colorScale>
    </cfRule>
  </conditionalFormatting>
  <conditionalFormatting sqref="O3:O84">
    <cfRule type="colorScale" priority="27">
      <colorScale>
        <cfvo type="min"/>
        <cfvo type="max"/>
        <color rgb="FFFCFCFF"/>
        <color rgb="FF63BE7B"/>
      </colorScale>
    </cfRule>
  </conditionalFormatting>
  <conditionalFormatting sqref="P3:P84">
    <cfRule type="colorScale" priority="21">
      <colorScale>
        <cfvo type="min"/>
        <cfvo type="max"/>
        <color rgb="FFFCFCFF"/>
        <color rgb="FF63BE7B"/>
      </colorScale>
    </cfRule>
    <cfRule type="colorScale" priority="22">
      <colorScale>
        <cfvo type="min"/>
        <cfvo type="max"/>
        <color rgb="FFFCFCFF"/>
        <color rgb="FF63BE7B"/>
      </colorScale>
    </cfRule>
  </conditionalFormatting>
  <conditionalFormatting sqref="Q3:Q84">
    <cfRule type="colorScale" priority="19">
      <colorScale>
        <cfvo type="min"/>
        <cfvo type="max"/>
        <color rgb="FFFCFCFF"/>
        <color rgb="FF63BE7B"/>
      </colorScale>
    </cfRule>
    <cfRule type="colorScale" priority="20">
      <colorScale>
        <cfvo type="min"/>
        <cfvo type="max"/>
        <color rgb="FFFCFCFF"/>
        <color rgb="FF63BE7B"/>
      </colorScale>
    </cfRule>
  </conditionalFormatting>
  <conditionalFormatting sqref="S3:T84"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V3:V84">
    <cfRule type="colorScale" priority="9">
      <colorScale>
        <cfvo type="min"/>
        <cfvo type="max"/>
        <color rgb="FFFCFCFF"/>
        <color rgb="FF63BE7B"/>
      </colorScale>
    </cfRule>
  </conditionalFormatting>
  <conditionalFormatting sqref="W3:W84">
    <cfRule type="colorScale" priority="8">
      <colorScale>
        <cfvo type="min"/>
        <cfvo type="max"/>
        <color rgb="FFFCFCFF"/>
        <color rgb="FF63BE7B"/>
      </colorScale>
    </cfRule>
  </conditionalFormatting>
  <conditionalFormatting sqref="W3:Y84">
    <cfRule type="colorScale" priority="10">
      <colorScale>
        <cfvo type="min"/>
        <cfvo type="max"/>
        <color rgb="FFFCFCFF"/>
        <color rgb="FF63BE7B"/>
      </colorScale>
    </cfRule>
  </conditionalFormatting>
  <conditionalFormatting sqref="X3:X84">
    <cfRule type="colorScale" priority="11">
      <colorScale>
        <cfvo type="min"/>
        <cfvo type="max"/>
        <color rgb="FFFCFCFF"/>
        <color rgb="FF63BE7B"/>
      </colorScale>
    </cfRule>
  </conditionalFormatting>
  <conditionalFormatting sqref="Y3:Y84">
    <cfRule type="colorScale" priority="12">
      <colorScale>
        <cfvo type="min"/>
        <cfvo type="max"/>
        <color rgb="FFFCFCFF"/>
        <color rgb="FF63BE7B"/>
      </colorScale>
    </cfRule>
  </conditionalFormatting>
  <conditionalFormatting sqref="Z3:Z84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max"/>
        <color rgb="FFFCFCFF"/>
        <color rgb="FF63BE7B"/>
      </colorScale>
    </cfRule>
  </conditionalFormatting>
  <conditionalFormatting sqref="AA3:AA84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I8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{05B7E5D3-47B0-4163-96FF-F165D23966A5}</x14:id>
        </ext>
      </extLst>
    </cfRule>
  </conditionalFormatting>
  <hyperlinks>
    <hyperlink ref="C93" r:id="rId1" display="http://acx.mc/" xr:uid="{10D5CA76-BFAF-476E-9FF5-B0FC221C1C1F}"/>
    <hyperlink ref="D93" r:id="rId2" display="http://air.mc/" xr:uid="{D9E60562-5AA8-4E10-8415-B659C1FD74F3}"/>
    <hyperlink ref="E93" r:id="rId3" display="http://air.mc/" xr:uid="{08BE7FE4-5479-402E-A1A7-0B65F3100848}"/>
    <hyperlink ref="H93" r:id="rId4" display="http://amp.mc/" xr:uid="{A9C21261-36F5-4D96-A87F-97AD2D9DB583}"/>
    <hyperlink ref="I93" r:id="rId5" display="http://ai3a.sg/" xr:uid="{75E61C2A-41B9-4046-8315-A31DF6B8AD2B}"/>
    <hyperlink ref="N93" r:id="rId6" display="http://bbva.mc/" xr:uid="{3CC5E2B5-7DB6-4E51-AE79-D0CC6CAD462D}"/>
    <hyperlink ref="O93" r:id="rId7" display="http://bkt.mc/" xr:uid="{F906CAD2-7141-4833-9C38-AB648B25AACE}"/>
    <hyperlink ref="Q93" r:id="rId8" display="http://cabk.mc/" xr:uid="{5004E15E-D01E-4BEF-AD71-9F0784821895}"/>
    <hyperlink ref="R93" r:id="rId9" display="http://cash.mc/" xr:uid="{E252A354-4BC7-4450-B8C2-27B41244079F}"/>
    <hyperlink ref="S93" r:id="rId10" display="http://cirsa.mc/" xr:uid="{CBFE92AB-C6C2-4DEE-B56E-4FE7798B1183}"/>
    <hyperlink ref="V93" r:id="rId11" display="http://dia.mc/" xr:uid="{76898D5A-1096-4F29-99E9-6262407FAA0A}"/>
    <hyperlink ref="W93" r:id="rId12" display="http://ebro.mc/" xr:uid="{3EE53B62-7A4F-410D-B922-BC751F544C9B}"/>
    <hyperlink ref="X93" r:id="rId13" display="http://ele.mc/" xr:uid="{70232CB0-EAB9-4C97-9C29-1295B09DF316}"/>
    <hyperlink ref="Y93" r:id="rId14" display="http://eng.mc/" xr:uid="{D7F234DA-409A-4703-B9A5-A7E0AA65FF1B}"/>
    <hyperlink ref="AA93" r:id="rId15" display="http://fer.mc/" xr:uid="{E9889614-2033-47A5-83A4-3A78E4F61427}"/>
    <hyperlink ref="AD93" r:id="rId16" display="http://gre.mc/" xr:uid="{E3AA5A54-0405-47B1-84E3-5FE47BF3AFF8}"/>
    <hyperlink ref="AG93" r:id="rId17" display="http://1mm.sg/" xr:uid="{2D536A7F-E0F9-4464-BB05-7576F5A6B535}"/>
    <hyperlink ref="AI93" r:id="rId18" display="http://iag.mc/" xr:uid="{D0E3570A-5738-45BD-BB2E-6D62D579AA9C}"/>
    <hyperlink ref="AK93" r:id="rId19" display="http://ibe.mc/" xr:uid="{EDC012CE-D24D-44D6-97BA-7ED61A73C4E4}"/>
    <hyperlink ref="AL93" r:id="rId20" display="http://idr.mc/" xr:uid="{DA5815AE-3752-4E9B-A5E8-3305095C4479}"/>
    <hyperlink ref="AM93" r:id="rId21" display="http://lda.mc/" xr:uid="{17F7A63C-5EF1-4EF3-B272-BFFC8CC079FA}"/>
    <hyperlink ref="AN93" r:id="rId22" display="http://ldo.vi/" xr:uid="{15F8779E-5DA2-4441-B529-6DE73C3698FC}"/>
    <hyperlink ref="AP93" r:id="rId23" display="http://lindeindia.bo/" xr:uid="{A91CC7EE-1C12-4C01-AC76-697ED3D7FAB4}"/>
    <hyperlink ref="AS93" r:id="rId24" display="http://map.mc/" xr:uid="{FA7FE7BB-A49E-4013-A74C-E07203BB1616}"/>
    <hyperlink ref="AT93" r:id="rId25" display="http://mel.mc/" xr:uid="{E812127D-DF86-4C44-A93F-105F43AD670F}"/>
    <hyperlink ref="AW93" r:id="rId26" display="http://mrl.mc/" xr:uid="{118100F4-7199-47DD-A3A3-FA874CD9D723}"/>
    <hyperlink ref="BC93" r:id="rId27" display="http://ntgy.mc/" xr:uid="{61A406EB-A8C9-422E-B28E-211A4BA81730}"/>
    <hyperlink ref="BF93" r:id="rId28" display="http://ohla.mc/" xr:uid="{76AA8B37-279E-42C2-83C4-09881115612F}"/>
    <hyperlink ref="BJ93" r:id="rId29" display="http://rep.mc/" xr:uid="{88E2C4F7-20A3-4D86-98A4-B3A1E128C04B}"/>
    <hyperlink ref="BK93" r:id="rId30" display="http://rovi.mc/" xr:uid="{B9D2E9CE-BA8B-489D-A6CB-B05BEEA258F2}"/>
    <hyperlink ref="BN93" r:id="rId31" display="http://saab_b.st/" xr:uid="{52555AE9-592D-4CED-814D-AD667976B83F}"/>
    <hyperlink ref="BO93" r:id="rId32" display="http://sab.mc/" xr:uid="{C0826B6D-81B9-497C-BA38-4169B3421130}"/>
    <hyperlink ref="BP93" r:id="rId33" display="http://san.mc/" xr:uid="{201F1AFC-E9BA-4745-B6AB-BA539CD94F8E}"/>
    <hyperlink ref="BR93" r:id="rId34" display="http://scyr.mc/" xr:uid="{2FA95EEC-15B2-4FC9-BA65-16BC7509C7F7}"/>
    <hyperlink ref="BS93" r:id="rId35" display="http://slr.mc/" xr:uid="{B8351737-F417-4FDD-8D85-073E017C0C00}"/>
    <hyperlink ref="BT93" r:id="rId36" display="http://snd.de/" xr:uid="{8CAE10F3-79C6-4B21-ACDA-CE5908307D81}"/>
    <hyperlink ref="BV93" r:id="rId37" display="http://sqrl.mc/" xr:uid="{00A7C828-7A0C-4D7D-919E-487552FE962F}"/>
    <hyperlink ref="BW93" r:id="rId38" display="http://tef.mc/" xr:uid="{0216A1BF-5DBA-4CFD-8384-9F0E6DBD8E23}"/>
    <hyperlink ref="BX93" r:id="rId39" display="http://tka.de/" xr:uid="{F1CB31AA-D002-415D-9429-CD61D854C1E5}"/>
    <hyperlink ref="BY93" r:id="rId40" display="http://tre.mc/" xr:uid="{D3972A7A-64CA-4D4E-99C0-6090CADE5555}"/>
    <hyperlink ref="BZ93" r:id="rId41" display="http://tcx.sg/" xr:uid="{99E2DCFE-13E2-46D7-99BD-E2DF87E2A2BD}"/>
    <hyperlink ref="CB93" r:id="rId42" display="http://ulvrn.mx/" xr:uid="{F7D7B874-9CFC-45FF-A6FE-7963C2C7B85D}"/>
    <hyperlink ref="CD93" r:id="rId43" display="http://vowa.sg/" xr:uid="{41F5DFB3-8CF7-4975-A2AC-6C0CCC543685}"/>
  </hyperlinks>
  <pageMargins left="0.7" right="0.7" top="0.75" bottom="0.75" header="0.3" footer="0.3"/>
  <pageSetup paperSize="9" orientation="portrait" r:id="rId4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F13771-F1E1-4595-916E-E1D8AD08E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I86:J86</xm:sqref>
        </x14:conditionalFormatting>
        <x14:conditionalFormatting xmlns:xm="http://schemas.microsoft.com/office/excel/2006/main">
          <x14:cfRule type="dataBar" id="{5A0255E5-706C-4E0B-9545-785C7BBDAC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L86:Q86</xm:sqref>
        </x14:conditionalFormatting>
        <x14:conditionalFormatting xmlns:xm="http://schemas.microsoft.com/office/excel/2006/main">
          <x14:cfRule type="dataBar" id="{05B7E5D3-47B0-4163-96FF-F165D23966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I87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71C0-5D3A-4088-8190-8A726002FBD6}">
  <sheetPr>
    <tabColor theme="5" tint="0.39997558519241921"/>
  </sheetPr>
  <dimension ref="A1:P83"/>
  <sheetViews>
    <sheetView workbookViewId="0">
      <selection activeCell="B117" sqref="B117:C117"/>
    </sheetView>
  </sheetViews>
  <sheetFormatPr baseColWidth="10" defaultColWidth="9" defaultRowHeight="15" x14ac:dyDescent="0.25"/>
  <cols>
    <col min="1" max="1" width="7.7109375" bestFit="1" customWidth="1"/>
    <col min="2" max="2" width="13.28515625" style="82" bestFit="1" customWidth="1"/>
    <col min="3" max="3" width="7.140625" bestFit="1" customWidth="1"/>
    <col min="4" max="4" width="9" bestFit="1" customWidth="1"/>
    <col min="5" max="5" width="8" bestFit="1" customWidth="1"/>
    <col min="6" max="6" width="28" bestFit="1" customWidth="1"/>
    <col min="7" max="7" width="28" customWidth="1"/>
    <col min="9" max="9" width="19.42578125" bestFit="1" customWidth="1"/>
    <col min="10" max="10" width="10.42578125" bestFit="1" customWidth="1"/>
    <col min="11" max="11" width="18" bestFit="1" customWidth="1"/>
    <col min="12" max="12" width="7.7109375" bestFit="1" customWidth="1"/>
    <col min="13" max="13" width="19.42578125" bestFit="1" customWidth="1"/>
    <col min="14" max="14" width="12.42578125" bestFit="1" customWidth="1"/>
    <col min="15" max="15" width="18" customWidth="1"/>
    <col min="16" max="16" width="106.85546875" bestFit="1" customWidth="1"/>
  </cols>
  <sheetData>
    <row r="1" spans="1:16" x14ac:dyDescent="0.25">
      <c r="A1" s="232" t="s">
        <v>148</v>
      </c>
      <c r="B1" s="233" t="s">
        <v>309</v>
      </c>
      <c r="C1" s="232" t="s">
        <v>310</v>
      </c>
      <c r="D1" s="232" t="s">
        <v>311</v>
      </c>
      <c r="E1" s="232" t="s">
        <v>312</v>
      </c>
      <c r="F1" s="232" t="s">
        <v>313</v>
      </c>
      <c r="G1" s="234"/>
      <c r="I1" s="235" t="s">
        <v>314</v>
      </c>
      <c r="J1" s="235" t="s">
        <v>315</v>
      </c>
      <c r="K1" s="235" t="s">
        <v>316</v>
      </c>
      <c r="L1" s="235" t="s">
        <v>310</v>
      </c>
      <c r="M1" s="235" t="s">
        <v>317</v>
      </c>
      <c r="N1" s="235" t="s">
        <v>318</v>
      </c>
      <c r="O1" s="235" t="s">
        <v>319</v>
      </c>
      <c r="P1" s="235" t="s">
        <v>313</v>
      </c>
    </row>
    <row r="2" spans="1:16" x14ac:dyDescent="0.25">
      <c r="A2" s="236" t="s">
        <v>87</v>
      </c>
      <c r="B2" s="82">
        <v>92</v>
      </c>
      <c r="C2" t="s">
        <v>320</v>
      </c>
      <c r="D2" t="s">
        <v>321</v>
      </c>
      <c r="E2" t="s">
        <v>322</v>
      </c>
      <c r="F2" t="s">
        <v>323</v>
      </c>
      <c r="I2" t="s">
        <v>13</v>
      </c>
      <c r="J2" s="237" t="s">
        <v>324</v>
      </c>
      <c r="K2" s="238">
        <v>0.66</v>
      </c>
      <c r="L2" s="82" t="s">
        <v>320</v>
      </c>
      <c r="M2" s="82" t="s">
        <v>325</v>
      </c>
      <c r="N2" s="239">
        <v>0.9</v>
      </c>
      <c r="O2" s="2" t="s">
        <v>326</v>
      </c>
      <c r="P2" s="240" t="s">
        <v>327</v>
      </c>
    </row>
    <row r="3" spans="1:16" x14ac:dyDescent="0.25">
      <c r="A3" t="s">
        <v>13</v>
      </c>
      <c r="B3" s="82">
        <v>90</v>
      </c>
      <c r="C3" t="s">
        <v>320</v>
      </c>
      <c r="D3" t="s">
        <v>321</v>
      </c>
      <c r="E3" t="s">
        <v>328</v>
      </c>
      <c r="F3" t="s">
        <v>329</v>
      </c>
      <c r="I3" t="s">
        <v>28</v>
      </c>
      <c r="J3" s="237" t="s">
        <v>324</v>
      </c>
      <c r="K3" s="238">
        <v>0.64</v>
      </c>
      <c r="L3" s="82" t="s">
        <v>320</v>
      </c>
      <c r="M3" s="82" t="s">
        <v>325</v>
      </c>
      <c r="N3" s="239">
        <v>1.1000000000000001</v>
      </c>
      <c r="O3" s="2" t="s">
        <v>326</v>
      </c>
      <c r="P3" s="240" t="s">
        <v>327</v>
      </c>
    </row>
    <row r="4" spans="1:16" x14ac:dyDescent="0.25">
      <c r="A4" t="s">
        <v>83</v>
      </c>
      <c r="B4" s="82">
        <v>89</v>
      </c>
      <c r="C4" t="s">
        <v>320</v>
      </c>
      <c r="D4" t="s">
        <v>321</v>
      </c>
      <c r="E4" t="s">
        <v>322</v>
      </c>
      <c r="F4" t="s">
        <v>330</v>
      </c>
      <c r="I4" t="s">
        <v>25</v>
      </c>
      <c r="J4" s="237" t="s">
        <v>324</v>
      </c>
      <c r="K4" s="238">
        <v>0.63</v>
      </c>
      <c r="L4" s="82" t="s">
        <v>320</v>
      </c>
      <c r="M4" s="82" t="s">
        <v>325</v>
      </c>
      <c r="N4" s="239">
        <v>1.2</v>
      </c>
      <c r="O4" s="2" t="s">
        <v>326</v>
      </c>
      <c r="P4" s="240" t="s">
        <v>327</v>
      </c>
    </row>
    <row r="5" spans="1:16" x14ac:dyDescent="0.25">
      <c r="A5" s="236" t="s">
        <v>51</v>
      </c>
      <c r="B5" s="82">
        <v>88</v>
      </c>
      <c r="C5" t="s">
        <v>320</v>
      </c>
      <c r="D5" t="s">
        <v>321</v>
      </c>
      <c r="E5" t="s">
        <v>322</v>
      </c>
      <c r="F5" t="s">
        <v>331</v>
      </c>
      <c r="I5" t="s">
        <v>85</v>
      </c>
      <c r="J5" s="237" t="s">
        <v>332</v>
      </c>
      <c r="K5" s="238">
        <v>0.63</v>
      </c>
      <c r="L5" s="82" t="s">
        <v>320</v>
      </c>
      <c r="M5" s="82" t="s">
        <v>333</v>
      </c>
      <c r="N5" s="239">
        <v>0.8</v>
      </c>
      <c r="O5" s="2" t="s">
        <v>334</v>
      </c>
      <c r="P5" s="240" t="s">
        <v>335</v>
      </c>
    </row>
    <row r="6" spans="1:16" x14ac:dyDescent="0.25">
      <c r="A6" t="s">
        <v>336</v>
      </c>
      <c r="B6" s="82">
        <v>88</v>
      </c>
      <c r="C6" t="s">
        <v>320</v>
      </c>
      <c r="D6" t="s">
        <v>321</v>
      </c>
      <c r="E6" t="s">
        <v>328</v>
      </c>
      <c r="F6" t="s">
        <v>337</v>
      </c>
      <c r="I6" t="s">
        <v>83</v>
      </c>
      <c r="J6" s="237" t="s">
        <v>324</v>
      </c>
      <c r="K6" s="238">
        <v>0.62</v>
      </c>
      <c r="L6" s="82" t="s">
        <v>320</v>
      </c>
      <c r="M6" s="82" t="s">
        <v>325</v>
      </c>
      <c r="N6" s="239">
        <v>1.3</v>
      </c>
      <c r="O6" s="2" t="s">
        <v>326</v>
      </c>
      <c r="P6" s="240" t="s">
        <v>327</v>
      </c>
    </row>
    <row r="7" spans="1:16" x14ac:dyDescent="0.25">
      <c r="A7" t="s">
        <v>89</v>
      </c>
      <c r="B7" s="82">
        <v>86</v>
      </c>
      <c r="C7" t="s">
        <v>320</v>
      </c>
      <c r="D7" t="s">
        <v>338</v>
      </c>
      <c r="E7" t="s">
        <v>322</v>
      </c>
      <c r="F7" t="s">
        <v>339</v>
      </c>
      <c r="I7" t="s">
        <v>51</v>
      </c>
      <c r="J7" s="237" t="s">
        <v>324</v>
      </c>
      <c r="K7" s="238">
        <v>0.61</v>
      </c>
      <c r="L7" s="82" t="s">
        <v>340</v>
      </c>
      <c r="M7" s="82" t="s">
        <v>325</v>
      </c>
      <c r="N7" s="239">
        <v>1.2</v>
      </c>
      <c r="O7" s="2" t="s">
        <v>326</v>
      </c>
      <c r="P7" s="240" t="s">
        <v>327</v>
      </c>
    </row>
    <row r="8" spans="1:16" x14ac:dyDescent="0.25">
      <c r="A8" t="s">
        <v>220</v>
      </c>
      <c r="B8" s="82">
        <v>86</v>
      </c>
      <c r="C8" t="s">
        <v>320</v>
      </c>
      <c r="D8" t="s">
        <v>321</v>
      </c>
      <c r="E8" t="s">
        <v>322</v>
      </c>
      <c r="F8" t="s">
        <v>341</v>
      </c>
      <c r="I8" t="s">
        <v>220</v>
      </c>
      <c r="J8" s="237" t="s">
        <v>332</v>
      </c>
      <c r="K8" s="238">
        <v>0.6</v>
      </c>
      <c r="L8" s="82" t="s">
        <v>340</v>
      </c>
      <c r="M8" s="82" t="s">
        <v>325</v>
      </c>
      <c r="N8" s="239">
        <v>1.3</v>
      </c>
      <c r="O8" s="2" t="s">
        <v>326</v>
      </c>
      <c r="P8" s="240" t="s">
        <v>327</v>
      </c>
    </row>
    <row r="9" spans="1:16" x14ac:dyDescent="0.25">
      <c r="A9" t="s">
        <v>94</v>
      </c>
      <c r="B9" s="82">
        <v>85</v>
      </c>
      <c r="C9" t="s">
        <v>320</v>
      </c>
      <c r="D9" t="s">
        <v>338</v>
      </c>
      <c r="E9" t="s">
        <v>322</v>
      </c>
      <c r="F9" t="s">
        <v>342</v>
      </c>
      <c r="I9" t="s">
        <v>33</v>
      </c>
      <c r="J9" s="237" t="s">
        <v>332</v>
      </c>
      <c r="K9" s="238">
        <v>0.59</v>
      </c>
      <c r="L9" s="82" t="s">
        <v>320</v>
      </c>
      <c r="M9" s="82" t="s">
        <v>343</v>
      </c>
      <c r="N9" s="239">
        <v>1</v>
      </c>
      <c r="O9" s="2" t="s">
        <v>344</v>
      </c>
      <c r="P9" s="240" t="s">
        <v>345</v>
      </c>
    </row>
    <row r="10" spans="1:16" x14ac:dyDescent="0.25">
      <c r="A10" t="s">
        <v>88</v>
      </c>
      <c r="B10" s="82">
        <v>84</v>
      </c>
      <c r="C10" t="s">
        <v>320</v>
      </c>
      <c r="D10" t="s">
        <v>346</v>
      </c>
      <c r="E10" t="s">
        <v>347</v>
      </c>
      <c r="F10" t="s">
        <v>348</v>
      </c>
      <c r="I10" t="s">
        <v>55</v>
      </c>
      <c r="J10" s="237" t="s">
        <v>332</v>
      </c>
      <c r="K10" s="238">
        <v>0.59</v>
      </c>
      <c r="L10" s="82" t="s">
        <v>320</v>
      </c>
      <c r="M10" s="82" t="s">
        <v>343</v>
      </c>
      <c r="N10" s="239">
        <v>1</v>
      </c>
      <c r="O10" s="2" t="s">
        <v>344</v>
      </c>
      <c r="P10" s="240" t="s">
        <v>345</v>
      </c>
    </row>
    <row r="11" spans="1:16" x14ac:dyDescent="0.25">
      <c r="A11" t="s">
        <v>25</v>
      </c>
      <c r="B11" s="82">
        <v>84</v>
      </c>
      <c r="C11" t="s">
        <v>320</v>
      </c>
      <c r="D11" t="s">
        <v>321</v>
      </c>
      <c r="E11" t="s">
        <v>328</v>
      </c>
      <c r="F11" t="s">
        <v>349</v>
      </c>
      <c r="I11" t="s">
        <v>43</v>
      </c>
      <c r="J11" s="237" t="s">
        <v>332</v>
      </c>
      <c r="K11" s="238">
        <v>0.59</v>
      </c>
      <c r="L11" s="82" t="s">
        <v>320</v>
      </c>
      <c r="M11" s="82" t="s">
        <v>343</v>
      </c>
      <c r="N11" s="239">
        <v>1</v>
      </c>
      <c r="O11" s="2" t="s">
        <v>344</v>
      </c>
      <c r="P11" s="240" t="s">
        <v>345</v>
      </c>
    </row>
    <row r="12" spans="1:16" x14ac:dyDescent="0.25">
      <c r="A12" t="s">
        <v>34</v>
      </c>
      <c r="B12" s="82">
        <v>83</v>
      </c>
      <c r="C12" t="s">
        <v>320</v>
      </c>
      <c r="D12" t="s">
        <v>321</v>
      </c>
      <c r="E12" t="s">
        <v>328</v>
      </c>
      <c r="F12" t="s">
        <v>350</v>
      </c>
      <c r="I12" t="s">
        <v>15</v>
      </c>
      <c r="J12" s="237" t="s">
        <v>351</v>
      </c>
      <c r="K12" s="238">
        <v>0.57999999999999996</v>
      </c>
      <c r="L12" s="82" t="s">
        <v>320</v>
      </c>
      <c r="M12" s="82" t="s">
        <v>333</v>
      </c>
      <c r="N12" s="239">
        <v>0.9</v>
      </c>
      <c r="O12" s="2" t="s">
        <v>334</v>
      </c>
      <c r="P12" s="240" t="s">
        <v>335</v>
      </c>
    </row>
    <row r="13" spans="1:16" x14ac:dyDescent="0.25">
      <c r="A13" t="s">
        <v>35</v>
      </c>
      <c r="B13" s="82">
        <v>82</v>
      </c>
      <c r="C13" t="s">
        <v>320</v>
      </c>
      <c r="D13" t="s">
        <v>321</v>
      </c>
      <c r="E13" t="s">
        <v>328</v>
      </c>
      <c r="F13" t="s">
        <v>352</v>
      </c>
      <c r="I13" t="s">
        <v>69</v>
      </c>
      <c r="J13" s="237" t="s">
        <v>353</v>
      </c>
      <c r="K13" s="238">
        <v>0.57999999999999996</v>
      </c>
      <c r="L13" s="82" t="s">
        <v>340</v>
      </c>
      <c r="M13" s="82" t="s">
        <v>343</v>
      </c>
      <c r="N13" s="239">
        <v>0.7</v>
      </c>
      <c r="O13" s="2" t="s">
        <v>354</v>
      </c>
      <c r="P13" s="240" t="s">
        <v>355</v>
      </c>
    </row>
    <row r="14" spans="1:16" x14ac:dyDescent="0.25">
      <c r="A14" t="s">
        <v>221</v>
      </c>
      <c r="B14" s="82">
        <v>81</v>
      </c>
      <c r="C14" t="s">
        <v>320</v>
      </c>
      <c r="D14" t="s">
        <v>321</v>
      </c>
      <c r="E14" t="s">
        <v>328</v>
      </c>
      <c r="F14" t="s">
        <v>356</v>
      </c>
      <c r="I14" t="s">
        <v>87</v>
      </c>
      <c r="J14" s="237" t="s">
        <v>324</v>
      </c>
      <c r="K14" s="238">
        <v>0.57999999999999996</v>
      </c>
      <c r="L14" s="82" t="s">
        <v>340</v>
      </c>
      <c r="M14" s="82" t="s">
        <v>325</v>
      </c>
      <c r="N14" s="239">
        <v>1.7</v>
      </c>
      <c r="O14" s="2" t="s">
        <v>326</v>
      </c>
      <c r="P14" s="240" t="s">
        <v>327</v>
      </c>
    </row>
    <row r="15" spans="1:16" x14ac:dyDescent="0.25">
      <c r="A15" t="s">
        <v>77</v>
      </c>
      <c r="B15" s="82">
        <v>81</v>
      </c>
      <c r="C15" t="s">
        <v>320</v>
      </c>
      <c r="D15" t="s">
        <v>321</v>
      </c>
      <c r="E15" t="s">
        <v>357</v>
      </c>
      <c r="F15" t="s">
        <v>358</v>
      </c>
      <c r="I15" t="s">
        <v>215</v>
      </c>
      <c r="J15" s="237" t="s">
        <v>332</v>
      </c>
      <c r="K15" s="238">
        <v>0.57999999999999996</v>
      </c>
      <c r="L15" s="82" t="s">
        <v>340</v>
      </c>
      <c r="M15" s="82" t="s">
        <v>343</v>
      </c>
      <c r="N15" s="239">
        <v>0.6</v>
      </c>
      <c r="O15" s="2" t="s">
        <v>354</v>
      </c>
      <c r="P15" s="240" t="s">
        <v>355</v>
      </c>
    </row>
    <row r="16" spans="1:16" x14ac:dyDescent="0.25">
      <c r="A16" t="s">
        <v>55</v>
      </c>
      <c r="B16" s="82">
        <v>80</v>
      </c>
      <c r="C16" t="s">
        <v>320</v>
      </c>
      <c r="D16" t="s">
        <v>321</v>
      </c>
      <c r="E16" t="s">
        <v>328</v>
      </c>
      <c r="F16" t="s">
        <v>359</v>
      </c>
      <c r="I16" t="s">
        <v>217</v>
      </c>
      <c r="J16" s="237" t="s">
        <v>360</v>
      </c>
      <c r="K16" s="238">
        <v>0.57999999999999996</v>
      </c>
      <c r="L16" s="82" t="s">
        <v>340</v>
      </c>
      <c r="M16" s="82" t="s">
        <v>343</v>
      </c>
      <c r="N16" s="239">
        <v>0.7</v>
      </c>
      <c r="O16" s="2" t="s">
        <v>354</v>
      </c>
      <c r="P16" s="240" t="s">
        <v>355</v>
      </c>
    </row>
    <row r="17" spans="1:16" x14ac:dyDescent="0.25">
      <c r="A17" t="s">
        <v>43</v>
      </c>
      <c r="B17" s="82">
        <v>80</v>
      </c>
      <c r="C17" t="s">
        <v>320</v>
      </c>
      <c r="D17" t="s">
        <v>321</v>
      </c>
      <c r="E17" t="s">
        <v>328</v>
      </c>
      <c r="F17" t="s">
        <v>361</v>
      </c>
      <c r="I17" t="s">
        <v>89</v>
      </c>
      <c r="J17" s="237" t="s">
        <v>324</v>
      </c>
      <c r="K17" s="238">
        <v>0.56999999999999995</v>
      </c>
      <c r="L17" s="82" t="s">
        <v>340</v>
      </c>
      <c r="M17" s="82" t="s">
        <v>325</v>
      </c>
      <c r="N17" s="239">
        <v>1.6</v>
      </c>
      <c r="O17" s="2" t="s">
        <v>326</v>
      </c>
      <c r="P17" s="240" t="s">
        <v>327</v>
      </c>
    </row>
    <row r="18" spans="1:16" x14ac:dyDescent="0.25">
      <c r="A18" t="s">
        <v>30</v>
      </c>
      <c r="B18" s="82">
        <v>80</v>
      </c>
      <c r="C18" t="s">
        <v>320</v>
      </c>
      <c r="D18" t="s">
        <v>321</v>
      </c>
      <c r="E18" t="s">
        <v>328</v>
      </c>
      <c r="F18" t="s">
        <v>362</v>
      </c>
      <c r="I18" t="s">
        <v>71</v>
      </c>
      <c r="J18" s="237" t="s">
        <v>353</v>
      </c>
      <c r="K18" s="238">
        <v>0.56999999999999995</v>
      </c>
      <c r="L18" s="82" t="s">
        <v>340</v>
      </c>
      <c r="M18" s="82" t="s">
        <v>333</v>
      </c>
      <c r="N18" s="239">
        <v>0.8</v>
      </c>
      <c r="O18" s="2" t="s">
        <v>363</v>
      </c>
      <c r="P18" s="240" t="s">
        <v>364</v>
      </c>
    </row>
    <row r="19" spans="1:16" x14ac:dyDescent="0.25">
      <c r="A19" t="s">
        <v>57</v>
      </c>
      <c r="B19" s="82">
        <v>78</v>
      </c>
      <c r="C19" t="s">
        <v>320</v>
      </c>
      <c r="D19" t="s">
        <v>321</v>
      </c>
      <c r="E19" t="s">
        <v>328</v>
      </c>
      <c r="F19" t="s">
        <v>365</v>
      </c>
      <c r="I19" t="s">
        <v>68</v>
      </c>
      <c r="J19" s="237" t="s">
        <v>353</v>
      </c>
      <c r="K19" s="238">
        <v>0.56999999999999995</v>
      </c>
      <c r="L19" s="82" t="s">
        <v>340</v>
      </c>
      <c r="M19" s="82" t="s">
        <v>333</v>
      </c>
      <c r="N19" s="239">
        <v>1.1000000000000001</v>
      </c>
      <c r="O19" s="2" t="s">
        <v>363</v>
      </c>
      <c r="P19" s="240" t="s">
        <v>364</v>
      </c>
    </row>
    <row r="20" spans="1:16" x14ac:dyDescent="0.25">
      <c r="A20" t="s">
        <v>33</v>
      </c>
      <c r="B20" s="82">
        <v>78</v>
      </c>
      <c r="C20" t="s">
        <v>320</v>
      </c>
      <c r="D20" t="s">
        <v>321</v>
      </c>
      <c r="E20" t="s">
        <v>328</v>
      </c>
      <c r="F20" t="s">
        <v>366</v>
      </c>
      <c r="I20" t="s">
        <v>26</v>
      </c>
      <c r="J20" s="237" t="s">
        <v>353</v>
      </c>
      <c r="K20" s="238">
        <v>0.56999999999999995</v>
      </c>
      <c r="L20" s="82" t="s">
        <v>340</v>
      </c>
      <c r="M20" s="82" t="s">
        <v>333</v>
      </c>
      <c r="N20" s="239">
        <v>0.9</v>
      </c>
      <c r="O20" s="2" t="s">
        <v>363</v>
      </c>
      <c r="P20" s="240" t="s">
        <v>364</v>
      </c>
    </row>
    <row r="21" spans="1:16" x14ac:dyDescent="0.25">
      <c r="A21" t="s">
        <v>67</v>
      </c>
      <c r="B21" s="82">
        <v>77</v>
      </c>
      <c r="C21" t="s">
        <v>320</v>
      </c>
      <c r="D21" t="s">
        <v>321</v>
      </c>
      <c r="E21" t="s">
        <v>322</v>
      </c>
      <c r="F21" t="s">
        <v>367</v>
      </c>
      <c r="I21" t="s">
        <v>19</v>
      </c>
      <c r="J21" s="237" t="s">
        <v>353</v>
      </c>
      <c r="K21" s="238">
        <v>0.56999999999999995</v>
      </c>
      <c r="L21" s="82" t="s">
        <v>340</v>
      </c>
      <c r="M21" s="82" t="s">
        <v>333</v>
      </c>
      <c r="N21" s="239">
        <v>0.85</v>
      </c>
      <c r="O21" s="2" t="s">
        <v>363</v>
      </c>
      <c r="P21" s="240" t="s">
        <v>364</v>
      </c>
    </row>
    <row r="22" spans="1:16" x14ac:dyDescent="0.25">
      <c r="A22" t="s">
        <v>26</v>
      </c>
      <c r="B22" s="82">
        <v>76</v>
      </c>
      <c r="C22" t="s">
        <v>320</v>
      </c>
      <c r="D22" t="s">
        <v>338</v>
      </c>
      <c r="E22" t="s">
        <v>322</v>
      </c>
      <c r="F22" t="s">
        <v>368</v>
      </c>
      <c r="I22" t="s">
        <v>82</v>
      </c>
      <c r="J22" s="237" t="s">
        <v>353</v>
      </c>
      <c r="K22" s="238">
        <v>0.56999999999999995</v>
      </c>
      <c r="L22" s="82" t="s">
        <v>340</v>
      </c>
      <c r="M22" s="82" t="s">
        <v>333</v>
      </c>
      <c r="N22" s="239">
        <v>1.2</v>
      </c>
      <c r="O22" s="2" t="s">
        <v>363</v>
      </c>
      <c r="P22" s="240" t="s">
        <v>364</v>
      </c>
    </row>
    <row r="23" spans="1:16" x14ac:dyDescent="0.25">
      <c r="A23" t="s">
        <v>82</v>
      </c>
      <c r="B23" s="82">
        <v>75</v>
      </c>
      <c r="C23" t="s">
        <v>320</v>
      </c>
      <c r="D23" t="s">
        <v>321</v>
      </c>
      <c r="E23" t="s">
        <v>322</v>
      </c>
      <c r="F23" t="s">
        <v>369</v>
      </c>
      <c r="I23" t="s">
        <v>247</v>
      </c>
      <c r="J23" s="237" t="s">
        <v>370</v>
      </c>
      <c r="K23" s="238">
        <v>0.56000000000000005</v>
      </c>
      <c r="L23" s="82" t="s">
        <v>320</v>
      </c>
      <c r="M23" s="82" t="s">
        <v>343</v>
      </c>
      <c r="N23" s="239">
        <v>1.1000000000000001</v>
      </c>
      <c r="O23" s="2" t="s">
        <v>344</v>
      </c>
      <c r="P23" s="240" t="s">
        <v>345</v>
      </c>
    </row>
    <row r="24" spans="1:16" x14ac:dyDescent="0.25">
      <c r="A24" t="s">
        <v>37</v>
      </c>
      <c r="B24" s="82">
        <v>74</v>
      </c>
      <c r="C24" t="s">
        <v>320</v>
      </c>
      <c r="D24" t="s">
        <v>346</v>
      </c>
      <c r="E24" t="s">
        <v>347</v>
      </c>
      <c r="F24" t="s">
        <v>371</v>
      </c>
      <c r="I24" t="s">
        <v>247</v>
      </c>
      <c r="J24" s="237" t="s">
        <v>332</v>
      </c>
      <c r="K24" s="238">
        <v>0.56000000000000005</v>
      </c>
      <c r="L24" s="82" t="s">
        <v>320</v>
      </c>
      <c r="M24" s="82" t="s">
        <v>343</v>
      </c>
      <c r="N24" s="239">
        <v>1.3</v>
      </c>
      <c r="O24" s="2" t="s">
        <v>344</v>
      </c>
      <c r="P24" s="240" t="s">
        <v>345</v>
      </c>
    </row>
    <row r="25" spans="1:16" x14ac:dyDescent="0.25">
      <c r="A25" t="s">
        <v>36</v>
      </c>
      <c r="B25" s="82">
        <v>73</v>
      </c>
      <c r="C25" t="s">
        <v>320</v>
      </c>
      <c r="D25" t="s">
        <v>346</v>
      </c>
      <c r="E25" t="s">
        <v>347</v>
      </c>
      <c r="F25" t="s">
        <v>372</v>
      </c>
      <c r="I25" t="s">
        <v>45</v>
      </c>
      <c r="J25" s="237" t="s">
        <v>332</v>
      </c>
      <c r="K25" s="238">
        <v>0.56000000000000005</v>
      </c>
      <c r="L25" s="82" t="s">
        <v>340</v>
      </c>
      <c r="M25" s="82" t="s">
        <v>343</v>
      </c>
      <c r="N25" s="239">
        <v>1</v>
      </c>
      <c r="O25" s="2" t="s">
        <v>344</v>
      </c>
      <c r="P25" s="240" t="s">
        <v>345</v>
      </c>
    </row>
    <row r="26" spans="1:16" x14ac:dyDescent="0.25">
      <c r="A26" t="s">
        <v>32</v>
      </c>
      <c r="B26" s="82">
        <v>72</v>
      </c>
      <c r="C26" t="s">
        <v>320</v>
      </c>
      <c r="D26" t="s">
        <v>346</v>
      </c>
      <c r="E26" t="s">
        <v>322</v>
      </c>
      <c r="F26" t="s">
        <v>373</v>
      </c>
      <c r="I26" t="s">
        <v>94</v>
      </c>
      <c r="J26" s="237" t="s">
        <v>324</v>
      </c>
      <c r="K26" s="238">
        <v>0.56000000000000005</v>
      </c>
      <c r="L26" s="82" t="s">
        <v>340</v>
      </c>
      <c r="M26" s="82" t="s">
        <v>325</v>
      </c>
      <c r="N26" s="239">
        <v>1.7</v>
      </c>
      <c r="O26" s="2" t="s">
        <v>326</v>
      </c>
      <c r="P26" s="240" t="s">
        <v>327</v>
      </c>
    </row>
    <row r="27" spans="1:16" x14ac:dyDescent="0.25">
      <c r="A27" t="s">
        <v>42</v>
      </c>
      <c r="B27" s="82">
        <v>71</v>
      </c>
      <c r="C27" t="s">
        <v>320</v>
      </c>
      <c r="D27" t="s">
        <v>338</v>
      </c>
      <c r="E27" t="s">
        <v>328</v>
      </c>
      <c r="F27" t="s">
        <v>374</v>
      </c>
      <c r="I27" t="s">
        <v>56</v>
      </c>
      <c r="J27" s="237" t="s">
        <v>332</v>
      </c>
      <c r="K27" s="238">
        <v>0.56000000000000005</v>
      </c>
      <c r="L27" s="82" t="s">
        <v>320</v>
      </c>
      <c r="M27" s="82" t="s">
        <v>343</v>
      </c>
      <c r="N27" s="239">
        <v>1</v>
      </c>
      <c r="O27" s="2" t="s">
        <v>344</v>
      </c>
      <c r="P27" s="240" t="s">
        <v>345</v>
      </c>
    </row>
    <row r="28" spans="1:16" x14ac:dyDescent="0.25">
      <c r="A28" t="s">
        <v>73</v>
      </c>
      <c r="B28" s="82">
        <v>71</v>
      </c>
      <c r="C28" t="s">
        <v>320</v>
      </c>
      <c r="D28" t="s">
        <v>338</v>
      </c>
      <c r="E28" t="s">
        <v>322</v>
      </c>
      <c r="F28" t="s">
        <v>375</v>
      </c>
      <c r="I28" t="s">
        <v>52</v>
      </c>
      <c r="J28" s="237" t="s">
        <v>353</v>
      </c>
      <c r="K28" s="238">
        <v>0.56000000000000005</v>
      </c>
      <c r="L28" s="82" t="s">
        <v>320</v>
      </c>
      <c r="M28" s="82" t="s">
        <v>343</v>
      </c>
      <c r="N28" s="239">
        <v>1</v>
      </c>
      <c r="O28" s="2" t="s">
        <v>344</v>
      </c>
      <c r="P28" s="240" t="s">
        <v>345</v>
      </c>
    </row>
    <row r="29" spans="1:16" x14ac:dyDescent="0.25">
      <c r="A29" t="s">
        <v>19</v>
      </c>
      <c r="B29" s="82">
        <v>70</v>
      </c>
      <c r="C29" t="s">
        <v>320</v>
      </c>
      <c r="D29" t="s">
        <v>338</v>
      </c>
      <c r="E29" t="s">
        <v>328</v>
      </c>
      <c r="F29" t="s">
        <v>376</v>
      </c>
      <c r="I29" t="s">
        <v>47</v>
      </c>
      <c r="J29" s="237" t="s">
        <v>332</v>
      </c>
      <c r="K29" s="238">
        <v>0.56000000000000005</v>
      </c>
      <c r="L29" s="82" t="s">
        <v>320</v>
      </c>
      <c r="M29" s="82" t="s">
        <v>343</v>
      </c>
      <c r="N29" s="239">
        <v>1</v>
      </c>
      <c r="O29" s="2" t="s">
        <v>344</v>
      </c>
      <c r="P29" s="240" t="s">
        <v>345</v>
      </c>
    </row>
    <row r="30" spans="1:16" x14ac:dyDescent="0.25">
      <c r="A30" t="s">
        <v>84</v>
      </c>
      <c r="B30" s="82">
        <v>70</v>
      </c>
      <c r="C30" t="s">
        <v>320</v>
      </c>
      <c r="D30" t="s">
        <v>346</v>
      </c>
      <c r="E30" t="s">
        <v>347</v>
      </c>
      <c r="F30" t="s">
        <v>377</v>
      </c>
      <c r="I30" t="s">
        <v>30</v>
      </c>
      <c r="J30" s="237" t="s">
        <v>332</v>
      </c>
      <c r="K30" s="238">
        <v>0.56000000000000005</v>
      </c>
      <c r="L30" s="82" t="s">
        <v>320</v>
      </c>
      <c r="M30" s="82" t="s">
        <v>343</v>
      </c>
      <c r="N30" s="239">
        <v>1</v>
      </c>
      <c r="O30" s="2" t="s">
        <v>344</v>
      </c>
      <c r="P30" s="240" t="s">
        <v>345</v>
      </c>
    </row>
    <row r="31" spans="1:16" x14ac:dyDescent="0.25">
      <c r="A31" t="s">
        <v>81</v>
      </c>
      <c r="B31" s="82">
        <v>68</v>
      </c>
      <c r="C31" t="s">
        <v>340</v>
      </c>
      <c r="D31" t="s">
        <v>338</v>
      </c>
      <c r="E31" t="s">
        <v>357</v>
      </c>
      <c r="F31" t="s">
        <v>378</v>
      </c>
      <c r="I31" t="s">
        <v>57</v>
      </c>
      <c r="J31" s="237" t="s">
        <v>379</v>
      </c>
      <c r="K31" s="238">
        <v>0.56000000000000005</v>
      </c>
      <c r="L31" s="82" t="s">
        <v>320</v>
      </c>
      <c r="M31" s="82" t="s">
        <v>343</v>
      </c>
      <c r="N31" s="239">
        <v>1</v>
      </c>
      <c r="O31" s="2" t="s">
        <v>344</v>
      </c>
      <c r="P31" s="240" t="s">
        <v>345</v>
      </c>
    </row>
    <row r="32" spans="1:16" x14ac:dyDescent="0.25">
      <c r="A32" t="s">
        <v>68</v>
      </c>
      <c r="B32" s="82">
        <v>68</v>
      </c>
      <c r="C32" t="s">
        <v>340</v>
      </c>
      <c r="D32" t="s">
        <v>338</v>
      </c>
      <c r="E32" t="s">
        <v>328</v>
      </c>
      <c r="F32" t="s">
        <v>380</v>
      </c>
      <c r="I32" t="s">
        <v>31</v>
      </c>
      <c r="J32" s="237" t="s">
        <v>381</v>
      </c>
      <c r="K32" s="238">
        <v>0.56000000000000005</v>
      </c>
      <c r="L32" s="82" t="s">
        <v>340</v>
      </c>
      <c r="M32" s="82" t="s">
        <v>333</v>
      </c>
      <c r="N32" s="239">
        <v>1</v>
      </c>
      <c r="O32" s="2" t="s">
        <v>382</v>
      </c>
      <c r="P32" s="240" t="s">
        <v>383</v>
      </c>
    </row>
    <row r="33" spans="1:16" x14ac:dyDescent="0.25">
      <c r="A33" t="s">
        <v>71</v>
      </c>
      <c r="B33" s="82">
        <v>67</v>
      </c>
      <c r="C33" t="s">
        <v>340</v>
      </c>
      <c r="D33" t="s">
        <v>338</v>
      </c>
      <c r="E33" t="s">
        <v>357</v>
      </c>
      <c r="F33" t="s">
        <v>354</v>
      </c>
      <c r="I33" t="s">
        <v>37</v>
      </c>
      <c r="J33" s="237" t="s">
        <v>353</v>
      </c>
      <c r="K33" s="238">
        <v>0.55000000000000004</v>
      </c>
      <c r="L33" s="82" t="s">
        <v>340</v>
      </c>
      <c r="M33" s="82" t="s">
        <v>384</v>
      </c>
      <c r="N33" s="239">
        <v>1.3</v>
      </c>
      <c r="O33" s="2" t="s">
        <v>385</v>
      </c>
      <c r="P33" s="240" t="s">
        <v>386</v>
      </c>
    </row>
    <row r="34" spans="1:16" x14ac:dyDescent="0.25">
      <c r="A34" t="s">
        <v>69</v>
      </c>
      <c r="B34" s="82">
        <v>66</v>
      </c>
      <c r="C34" t="s">
        <v>340</v>
      </c>
      <c r="D34" t="s">
        <v>338</v>
      </c>
      <c r="E34" t="s">
        <v>357</v>
      </c>
      <c r="F34" t="s">
        <v>387</v>
      </c>
      <c r="I34" t="s">
        <v>73</v>
      </c>
      <c r="J34" s="237" t="s">
        <v>353</v>
      </c>
      <c r="K34" s="238">
        <v>0.55000000000000004</v>
      </c>
      <c r="L34" s="82" t="s">
        <v>340</v>
      </c>
      <c r="M34" s="82" t="s">
        <v>384</v>
      </c>
      <c r="N34" s="239">
        <v>1.3</v>
      </c>
      <c r="O34" s="2" t="s">
        <v>385</v>
      </c>
      <c r="P34" s="240" t="s">
        <v>386</v>
      </c>
    </row>
    <row r="35" spans="1:16" x14ac:dyDescent="0.25">
      <c r="A35" t="s">
        <v>72</v>
      </c>
      <c r="B35" s="82">
        <v>66</v>
      </c>
      <c r="C35" t="s">
        <v>340</v>
      </c>
      <c r="D35" t="s">
        <v>338</v>
      </c>
      <c r="E35" t="s">
        <v>322</v>
      </c>
      <c r="F35" t="s">
        <v>388</v>
      </c>
      <c r="I35" t="s">
        <v>32</v>
      </c>
      <c r="J35" s="237" t="s">
        <v>353</v>
      </c>
      <c r="K35" s="238">
        <v>0.55000000000000004</v>
      </c>
      <c r="L35" s="82" t="s">
        <v>340</v>
      </c>
      <c r="M35" s="82" t="s">
        <v>384</v>
      </c>
      <c r="N35" s="239">
        <v>1.3</v>
      </c>
      <c r="O35" s="2" t="s">
        <v>385</v>
      </c>
      <c r="P35" s="240" t="s">
        <v>386</v>
      </c>
    </row>
    <row r="36" spans="1:16" x14ac:dyDescent="0.25">
      <c r="A36" t="s">
        <v>41</v>
      </c>
      <c r="B36" s="82">
        <v>65</v>
      </c>
      <c r="C36" t="s">
        <v>340</v>
      </c>
      <c r="D36" t="s">
        <v>346</v>
      </c>
      <c r="E36" t="s">
        <v>322</v>
      </c>
      <c r="F36" t="s">
        <v>389</v>
      </c>
      <c r="I36" t="s">
        <v>216</v>
      </c>
      <c r="J36" s="237" t="s">
        <v>353</v>
      </c>
      <c r="K36" s="238">
        <v>0.55000000000000004</v>
      </c>
      <c r="L36" s="82" t="s">
        <v>340</v>
      </c>
      <c r="M36" s="82" t="s">
        <v>384</v>
      </c>
      <c r="N36" s="239">
        <v>1.3</v>
      </c>
      <c r="O36" s="2" t="s">
        <v>385</v>
      </c>
      <c r="P36" s="240" t="s">
        <v>386</v>
      </c>
    </row>
    <row r="37" spans="1:16" x14ac:dyDescent="0.25">
      <c r="A37" t="s">
        <v>39</v>
      </c>
      <c r="B37" s="82">
        <v>64</v>
      </c>
      <c r="C37" t="s">
        <v>340</v>
      </c>
      <c r="D37" t="s">
        <v>346</v>
      </c>
      <c r="E37" t="s">
        <v>322</v>
      </c>
      <c r="F37" t="s">
        <v>390</v>
      </c>
      <c r="I37" t="s">
        <v>88</v>
      </c>
      <c r="J37" s="237" t="s">
        <v>332</v>
      </c>
      <c r="K37" s="238">
        <v>0.55000000000000004</v>
      </c>
      <c r="L37" s="82" t="s">
        <v>340</v>
      </c>
      <c r="M37" s="82" t="s">
        <v>325</v>
      </c>
      <c r="N37" s="239">
        <v>1.8</v>
      </c>
      <c r="O37" s="2" t="s">
        <v>326</v>
      </c>
      <c r="P37" s="240" t="s">
        <v>327</v>
      </c>
    </row>
    <row r="38" spans="1:16" x14ac:dyDescent="0.25">
      <c r="A38" t="s">
        <v>15</v>
      </c>
      <c r="B38" s="82">
        <v>64</v>
      </c>
      <c r="C38" t="s">
        <v>340</v>
      </c>
      <c r="D38" t="s">
        <v>338</v>
      </c>
      <c r="E38" t="s">
        <v>328</v>
      </c>
      <c r="F38" t="s">
        <v>391</v>
      </c>
      <c r="I38" t="s">
        <v>219</v>
      </c>
      <c r="J38" s="237" t="s">
        <v>324</v>
      </c>
      <c r="K38" s="238">
        <v>0.55000000000000004</v>
      </c>
      <c r="L38" s="82" t="s">
        <v>340</v>
      </c>
      <c r="M38" s="82" t="s">
        <v>325</v>
      </c>
      <c r="N38" s="239">
        <v>1.4</v>
      </c>
      <c r="O38" s="2" t="s">
        <v>326</v>
      </c>
      <c r="P38" s="240" t="s">
        <v>327</v>
      </c>
    </row>
    <row r="39" spans="1:16" x14ac:dyDescent="0.25">
      <c r="A39" t="s">
        <v>45</v>
      </c>
      <c r="B39" s="82">
        <v>63</v>
      </c>
      <c r="C39" t="s">
        <v>340</v>
      </c>
      <c r="D39" t="s">
        <v>346</v>
      </c>
      <c r="E39" t="s">
        <v>347</v>
      </c>
      <c r="F39" t="s">
        <v>392</v>
      </c>
      <c r="I39" t="s">
        <v>84</v>
      </c>
      <c r="J39" s="237" t="s">
        <v>353</v>
      </c>
      <c r="K39" s="238">
        <v>0.55000000000000004</v>
      </c>
      <c r="L39" s="82" t="s">
        <v>340</v>
      </c>
      <c r="M39" s="82" t="s">
        <v>384</v>
      </c>
      <c r="N39" s="239">
        <v>1.3</v>
      </c>
      <c r="O39" s="2" t="s">
        <v>385</v>
      </c>
      <c r="P39" s="240" t="s">
        <v>386</v>
      </c>
    </row>
    <row r="40" spans="1:16" x14ac:dyDescent="0.25">
      <c r="A40" t="s">
        <v>219</v>
      </c>
      <c r="B40" s="82">
        <v>63</v>
      </c>
      <c r="C40" t="s">
        <v>340</v>
      </c>
      <c r="D40" t="s">
        <v>346</v>
      </c>
      <c r="E40" t="s">
        <v>322</v>
      </c>
      <c r="F40" t="s">
        <v>393</v>
      </c>
      <c r="I40" t="s">
        <v>36</v>
      </c>
      <c r="J40" s="237" t="s">
        <v>353</v>
      </c>
      <c r="K40" s="238">
        <v>0.55000000000000004</v>
      </c>
      <c r="L40" s="82" t="s">
        <v>340</v>
      </c>
      <c r="M40" s="82" t="s">
        <v>384</v>
      </c>
      <c r="N40" s="239">
        <v>1.3</v>
      </c>
      <c r="O40" s="2" t="s">
        <v>385</v>
      </c>
      <c r="P40" s="240" t="s">
        <v>386</v>
      </c>
    </row>
    <row r="41" spans="1:16" x14ac:dyDescent="0.25">
      <c r="A41" t="s">
        <v>27</v>
      </c>
      <c r="B41" s="82">
        <v>61</v>
      </c>
      <c r="C41" t="s">
        <v>340</v>
      </c>
      <c r="D41" t="s">
        <v>346</v>
      </c>
      <c r="E41" t="s">
        <v>322</v>
      </c>
      <c r="F41" t="s">
        <v>390</v>
      </c>
      <c r="I41" t="s">
        <v>394</v>
      </c>
      <c r="J41" s="237" t="s">
        <v>395</v>
      </c>
      <c r="K41" s="238">
        <v>0.54</v>
      </c>
      <c r="L41" s="82" t="s">
        <v>320</v>
      </c>
      <c r="M41" s="82" t="s">
        <v>325</v>
      </c>
      <c r="N41" s="239">
        <v>1.4</v>
      </c>
      <c r="O41" s="2" t="s">
        <v>396</v>
      </c>
      <c r="P41" s="240" t="s">
        <v>397</v>
      </c>
    </row>
    <row r="42" spans="1:16" x14ac:dyDescent="0.25">
      <c r="A42" t="s">
        <v>38</v>
      </c>
      <c r="B42" s="82">
        <v>61</v>
      </c>
      <c r="C42" t="s">
        <v>340</v>
      </c>
      <c r="D42" t="s">
        <v>346</v>
      </c>
      <c r="E42" t="s">
        <v>322</v>
      </c>
      <c r="F42" t="s">
        <v>398</v>
      </c>
      <c r="I42" t="s">
        <v>39</v>
      </c>
      <c r="J42" s="237" t="s">
        <v>353</v>
      </c>
      <c r="K42" s="238">
        <v>0.54</v>
      </c>
      <c r="L42" s="82" t="s">
        <v>320</v>
      </c>
      <c r="M42" s="82" t="s">
        <v>325</v>
      </c>
      <c r="N42" s="239">
        <v>1.3</v>
      </c>
      <c r="O42" s="2" t="s">
        <v>396</v>
      </c>
      <c r="P42" s="240" t="s">
        <v>397</v>
      </c>
    </row>
    <row r="43" spans="1:16" x14ac:dyDescent="0.25">
      <c r="A43" t="s">
        <v>76</v>
      </c>
      <c r="B43" s="82">
        <v>60</v>
      </c>
      <c r="C43" t="s">
        <v>340</v>
      </c>
      <c r="D43" t="s">
        <v>346</v>
      </c>
      <c r="E43" t="s">
        <v>322</v>
      </c>
      <c r="F43" t="s">
        <v>399</v>
      </c>
      <c r="I43" t="s">
        <v>27</v>
      </c>
      <c r="J43" s="237" t="s">
        <v>353</v>
      </c>
      <c r="K43" s="238">
        <v>0.54</v>
      </c>
      <c r="L43" s="82" t="s">
        <v>320</v>
      </c>
      <c r="M43" s="82" t="s">
        <v>325</v>
      </c>
      <c r="N43" s="239">
        <v>1.3</v>
      </c>
      <c r="O43" s="2" t="s">
        <v>396</v>
      </c>
      <c r="P43" s="240" t="s">
        <v>397</v>
      </c>
    </row>
    <row r="44" spans="1:16" x14ac:dyDescent="0.25">
      <c r="A44" t="s">
        <v>18</v>
      </c>
      <c r="B44" s="82">
        <v>58</v>
      </c>
      <c r="C44" t="s">
        <v>340</v>
      </c>
      <c r="D44" t="s">
        <v>400</v>
      </c>
      <c r="E44" t="s">
        <v>322</v>
      </c>
      <c r="F44" t="s">
        <v>401</v>
      </c>
      <c r="I44" t="s">
        <v>79</v>
      </c>
      <c r="J44" s="237" t="s">
        <v>351</v>
      </c>
      <c r="K44" s="238">
        <v>0.54</v>
      </c>
      <c r="L44" s="82" t="s">
        <v>320</v>
      </c>
      <c r="M44" s="82" t="s">
        <v>325</v>
      </c>
      <c r="N44" s="239">
        <v>1.3</v>
      </c>
      <c r="O44" s="2" t="s">
        <v>396</v>
      </c>
      <c r="P44" s="240" t="s">
        <v>397</v>
      </c>
    </row>
    <row r="45" spans="1:16" x14ac:dyDescent="0.25">
      <c r="A45" t="s">
        <v>93</v>
      </c>
      <c r="B45" s="82">
        <v>58</v>
      </c>
      <c r="C45" t="s">
        <v>340</v>
      </c>
      <c r="D45" t="s">
        <v>400</v>
      </c>
      <c r="E45" t="s">
        <v>347</v>
      </c>
      <c r="F45" t="s">
        <v>402</v>
      </c>
      <c r="I45" t="s">
        <v>34</v>
      </c>
      <c r="J45" s="237" t="s">
        <v>332</v>
      </c>
      <c r="K45" s="238">
        <v>0.54</v>
      </c>
      <c r="L45" s="82" t="s">
        <v>320</v>
      </c>
      <c r="M45" s="82" t="s">
        <v>325</v>
      </c>
      <c r="N45" s="239">
        <v>1.1000000000000001</v>
      </c>
      <c r="O45" s="2" t="s">
        <v>396</v>
      </c>
      <c r="P45" s="240" t="s">
        <v>397</v>
      </c>
    </row>
    <row r="46" spans="1:16" x14ac:dyDescent="0.25">
      <c r="A46" t="s">
        <v>214</v>
      </c>
      <c r="B46" s="82">
        <v>58</v>
      </c>
      <c r="C46" t="s">
        <v>340</v>
      </c>
      <c r="D46" t="s">
        <v>400</v>
      </c>
      <c r="E46" t="s">
        <v>322</v>
      </c>
      <c r="F46" t="s">
        <v>390</v>
      </c>
      <c r="I46" t="s">
        <v>67</v>
      </c>
      <c r="J46" s="237" t="s">
        <v>353</v>
      </c>
      <c r="K46" s="238">
        <v>0.54</v>
      </c>
      <c r="L46" s="82" t="s">
        <v>320</v>
      </c>
      <c r="M46" s="82" t="s">
        <v>325</v>
      </c>
      <c r="N46" s="239">
        <v>1.2</v>
      </c>
      <c r="O46" s="2" t="s">
        <v>396</v>
      </c>
      <c r="P46" s="240" t="s">
        <v>397</v>
      </c>
    </row>
    <row r="47" spans="1:16" x14ac:dyDescent="0.25">
      <c r="A47" t="s">
        <v>75</v>
      </c>
      <c r="B47" s="82">
        <v>57</v>
      </c>
      <c r="C47" t="s">
        <v>340</v>
      </c>
      <c r="D47" t="s">
        <v>400</v>
      </c>
      <c r="E47" t="s">
        <v>347</v>
      </c>
      <c r="F47" t="s">
        <v>403</v>
      </c>
      <c r="I47" t="s">
        <v>404</v>
      </c>
      <c r="J47" s="237" t="s">
        <v>90</v>
      </c>
      <c r="K47" s="238">
        <v>0.54</v>
      </c>
      <c r="L47" s="82" t="s">
        <v>320</v>
      </c>
      <c r="M47" s="82" t="s">
        <v>325</v>
      </c>
      <c r="N47" s="239">
        <v>1.3</v>
      </c>
      <c r="O47" s="2" t="s">
        <v>396</v>
      </c>
      <c r="P47" s="240" t="s">
        <v>397</v>
      </c>
    </row>
    <row r="48" spans="1:16" x14ac:dyDescent="0.25">
      <c r="A48" t="s">
        <v>16</v>
      </c>
      <c r="B48" s="82">
        <v>56</v>
      </c>
      <c r="C48" t="s">
        <v>340</v>
      </c>
      <c r="D48" t="s">
        <v>400</v>
      </c>
      <c r="E48" t="s">
        <v>322</v>
      </c>
      <c r="F48" t="s">
        <v>405</v>
      </c>
      <c r="I48" t="s">
        <v>35</v>
      </c>
      <c r="J48" s="237" t="s">
        <v>332</v>
      </c>
      <c r="K48" s="238">
        <v>0.54</v>
      </c>
      <c r="L48" s="82" t="s">
        <v>320</v>
      </c>
      <c r="M48" s="82" t="s">
        <v>325</v>
      </c>
      <c r="N48" s="239">
        <v>1.1000000000000001</v>
      </c>
      <c r="O48" s="2" t="s">
        <v>396</v>
      </c>
      <c r="P48" s="240" t="s">
        <v>397</v>
      </c>
    </row>
    <row r="49" spans="1:16" x14ac:dyDescent="0.25">
      <c r="A49" t="s">
        <v>74</v>
      </c>
      <c r="B49" s="82">
        <v>55</v>
      </c>
      <c r="C49" t="s">
        <v>340</v>
      </c>
      <c r="D49" t="s">
        <v>338</v>
      </c>
      <c r="E49" t="s">
        <v>328</v>
      </c>
      <c r="F49" t="s">
        <v>378</v>
      </c>
      <c r="I49" t="s">
        <v>75</v>
      </c>
      <c r="J49" s="237" t="s">
        <v>353</v>
      </c>
      <c r="K49" s="238">
        <v>0.54</v>
      </c>
      <c r="L49" s="82" t="s">
        <v>340</v>
      </c>
      <c r="M49" s="82" t="s">
        <v>325</v>
      </c>
      <c r="N49" s="239">
        <v>1.6</v>
      </c>
      <c r="O49" s="2" t="s">
        <v>396</v>
      </c>
      <c r="P49" s="240" t="s">
        <v>397</v>
      </c>
    </row>
    <row r="50" spans="1:16" x14ac:dyDescent="0.25">
      <c r="A50" t="s">
        <v>90</v>
      </c>
      <c r="B50" s="82">
        <v>55</v>
      </c>
      <c r="C50" t="s">
        <v>340</v>
      </c>
      <c r="D50" t="s">
        <v>400</v>
      </c>
      <c r="E50" t="s">
        <v>322</v>
      </c>
      <c r="F50" t="s">
        <v>402</v>
      </c>
      <c r="I50" t="s">
        <v>72</v>
      </c>
      <c r="J50" s="237" t="s">
        <v>353</v>
      </c>
      <c r="K50" s="238">
        <v>0.54</v>
      </c>
      <c r="L50" s="82" t="s">
        <v>320</v>
      </c>
      <c r="M50" s="82" t="s">
        <v>325</v>
      </c>
      <c r="N50" s="239">
        <v>1.4</v>
      </c>
      <c r="O50" s="2" t="s">
        <v>396</v>
      </c>
      <c r="P50" s="240" t="s">
        <v>397</v>
      </c>
    </row>
    <row r="51" spans="1:16" x14ac:dyDescent="0.25">
      <c r="A51" t="s">
        <v>22</v>
      </c>
      <c r="B51" s="82">
        <v>59</v>
      </c>
      <c r="C51" t="s">
        <v>340</v>
      </c>
      <c r="D51" t="s">
        <v>400</v>
      </c>
      <c r="E51" t="s">
        <v>322</v>
      </c>
      <c r="F51" t="s">
        <v>406</v>
      </c>
      <c r="I51" t="s">
        <v>38</v>
      </c>
      <c r="J51" s="237" t="s">
        <v>332</v>
      </c>
      <c r="K51" s="238">
        <v>0.54</v>
      </c>
      <c r="L51" s="82" t="s">
        <v>320</v>
      </c>
      <c r="M51" s="82" t="s">
        <v>325</v>
      </c>
      <c r="N51" s="239">
        <v>1.5</v>
      </c>
      <c r="O51" s="2" t="s">
        <v>396</v>
      </c>
      <c r="P51" s="240" t="s">
        <v>397</v>
      </c>
    </row>
    <row r="52" spans="1:16" x14ac:dyDescent="0.25">
      <c r="A52" t="s">
        <v>17</v>
      </c>
      <c r="B52" s="82">
        <v>57</v>
      </c>
      <c r="C52" t="s">
        <v>340</v>
      </c>
      <c r="D52" t="s">
        <v>400</v>
      </c>
      <c r="E52" t="s">
        <v>322</v>
      </c>
      <c r="F52" t="s">
        <v>406</v>
      </c>
      <c r="I52" t="s">
        <v>407</v>
      </c>
      <c r="J52" s="237" t="s">
        <v>395</v>
      </c>
      <c r="K52" s="238">
        <v>0.54</v>
      </c>
      <c r="L52" s="82" t="s">
        <v>340</v>
      </c>
      <c r="M52" s="82" t="s">
        <v>325</v>
      </c>
      <c r="N52" s="239">
        <v>1.5</v>
      </c>
      <c r="O52" s="2" t="s">
        <v>396</v>
      </c>
      <c r="P52" s="240" t="s">
        <v>397</v>
      </c>
    </row>
    <row r="53" spans="1:16" x14ac:dyDescent="0.25">
      <c r="A53" t="s">
        <v>91</v>
      </c>
      <c r="B53" s="82">
        <v>62</v>
      </c>
      <c r="C53" t="s">
        <v>340</v>
      </c>
      <c r="D53" t="s">
        <v>346</v>
      </c>
      <c r="E53" t="s">
        <v>322</v>
      </c>
      <c r="F53" t="s">
        <v>401</v>
      </c>
      <c r="I53" t="s">
        <v>408</v>
      </c>
      <c r="J53" s="237" t="s">
        <v>395</v>
      </c>
      <c r="K53" s="238">
        <v>0.54</v>
      </c>
      <c r="L53" s="82" t="s">
        <v>320</v>
      </c>
      <c r="M53" s="82" t="s">
        <v>325</v>
      </c>
      <c r="N53" s="239">
        <v>1.3</v>
      </c>
      <c r="O53" s="2" t="s">
        <v>396</v>
      </c>
      <c r="P53" s="240" t="s">
        <v>397</v>
      </c>
    </row>
    <row r="54" spans="1:16" x14ac:dyDescent="0.25">
      <c r="A54" t="s">
        <v>14</v>
      </c>
      <c r="B54" s="82">
        <v>50</v>
      </c>
      <c r="C54" t="s">
        <v>409</v>
      </c>
      <c r="D54" t="s">
        <v>410</v>
      </c>
      <c r="E54" t="s">
        <v>347</v>
      </c>
      <c r="F54" t="s">
        <v>411</v>
      </c>
      <c r="I54" t="s">
        <v>412</v>
      </c>
      <c r="J54" s="237" t="s">
        <v>413</v>
      </c>
      <c r="K54" s="238">
        <v>0.5</v>
      </c>
      <c r="L54" s="82" t="s">
        <v>340</v>
      </c>
      <c r="M54" s="82" t="s">
        <v>414</v>
      </c>
      <c r="N54" s="239">
        <v>1.5</v>
      </c>
      <c r="O54" s="2" t="s">
        <v>415</v>
      </c>
      <c r="P54" s="240" t="s">
        <v>416</v>
      </c>
    </row>
    <row r="55" spans="1:16" x14ac:dyDescent="0.25">
      <c r="A55" t="s">
        <v>53</v>
      </c>
      <c r="B55" s="82">
        <v>50</v>
      </c>
      <c r="C55" t="s">
        <v>409</v>
      </c>
      <c r="D55" t="s">
        <v>410</v>
      </c>
      <c r="E55" t="s">
        <v>347</v>
      </c>
      <c r="F55" t="s">
        <v>417</v>
      </c>
      <c r="I55" t="s">
        <v>18</v>
      </c>
      <c r="J55" s="237" t="s">
        <v>353</v>
      </c>
      <c r="K55" s="238">
        <v>0.5</v>
      </c>
      <c r="L55" s="82" t="s">
        <v>340</v>
      </c>
      <c r="M55" s="82" t="s">
        <v>414</v>
      </c>
      <c r="N55" s="239">
        <v>1.5</v>
      </c>
      <c r="O55" s="2" t="s">
        <v>415</v>
      </c>
      <c r="P55" s="240" t="s">
        <v>416</v>
      </c>
    </row>
    <row r="56" spans="1:16" x14ac:dyDescent="0.25">
      <c r="I56" t="s">
        <v>46</v>
      </c>
      <c r="J56" s="237" t="s">
        <v>418</v>
      </c>
      <c r="K56" s="238">
        <v>0.5</v>
      </c>
      <c r="L56" s="82" t="s">
        <v>340</v>
      </c>
      <c r="M56" s="82" t="s">
        <v>414</v>
      </c>
      <c r="N56" s="239">
        <v>1.5</v>
      </c>
      <c r="O56" s="2" t="s">
        <v>415</v>
      </c>
      <c r="P56" s="240" t="s">
        <v>416</v>
      </c>
    </row>
    <row r="57" spans="1:16" x14ac:dyDescent="0.25">
      <c r="I57" t="s">
        <v>58</v>
      </c>
      <c r="J57" s="237" t="s">
        <v>353</v>
      </c>
      <c r="K57" s="238">
        <v>0.5</v>
      </c>
      <c r="L57" s="82" t="s">
        <v>340</v>
      </c>
      <c r="M57" s="82" t="s">
        <v>414</v>
      </c>
      <c r="N57" s="239">
        <v>1.5</v>
      </c>
      <c r="O57" s="2" t="s">
        <v>415</v>
      </c>
      <c r="P57" s="240" t="s">
        <v>416</v>
      </c>
    </row>
    <row r="58" spans="1:16" x14ac:dyDescent="0.25">
      <c r="I58" t="s">
        <v>86</v>
      </c>
      <c r="J58" s="237" t="s">
        <v>353</v>
      </c>
      <c r="K58" s="238">
        <v>0.5</v>
      </c>
      <c r="L58" s="82" t="s">
        <v>340</v>
      </c>
      <c r="M58" s="82" t="s">
        <v>414</v>
      </c>
      <c r="N58" s="239">
        <v>1.5</v>
      </c>
      <c r="O58" s="2" t="s">
        <v>415</v>
      </c>
      <c r="P58" s="240" t="s">
        <v>416</v>
      </c>
    </row>
    <row r="59" spans="1:16" x14ac:dyDescent="0.25">
      <c r="I59" t="s">
        <v>14</v>
      </c>
      <c r="J59" s="237" t="s">
        <v>353</v>
      </c>
      <c r="K59" s="238">
        <v>0.5</v>
      </c>
      <c r="L59" s="82" t="s">
        <v>340</v>
      </c>
      <c r="M59" s="82" t="s">
        <v>414</v>
      </c>
      <c r="N59" s="239">
        <v>1.5</v>
      </c>
      <c r="O59" s="2" t="s">
        <v>415</v>
      </c>
      <c r="P59" s="240" t="s">
        <v>416</v>
      </c>
    </row>
    <row r="60" spans="1:16" x14ac:dyDescent="0.25">
      <c r="I60" t="s">
        <v>44</v>
      </c>
      <c r="J60" s="237" t="s">
        <v>353</v>
      </c>
      <c r="K60" s="238">
        <v>0.5</v>
      </c>
      <c r="L60" s="82" t="s">
        <v>340</v>
      </c>
      <c r="M60" s="82" t="s">
        <v>414</v>
      </c>
      <c r="N60" s="239">
        <v>1.5</v>
      </c>
      <c r="O60" s="2" t="s">
        <v>415</v>
      </c>
      <c r="P60" s="240" t="s">
        <v>416</v>
      </c>
    </row>
    <row r="61" spans="1:16" x14ac:dyDescent="0.25">
      <c r="I61" t="s">
        <v>21</v>
      </c>
      <c r="J61" s="237" t="s">
        <v>353</v>
      </c>
      <c r="K61" s="238">
        <v>0.5</v>
      </c>
      <c r="L61" s="82" t="s">
        <v>340</v>
      </c>
      <c r="M61" s="82" t="s">
        <v>414</v>
      </c>
      <c r="N61" s="239">
        <v>1.5</v>
      </c>
      <c r="O61" s="2" t="s">
        <v>415</v>
      </c>
      <c r="P61" s="240" t="s">
        <v>416</v>
      </c>
    </row>
    <row r="62" spans="1:16" x14ac:dyDescent="0.25">
      <c r="I62" t="s">
        <v>41</v>
      </c>
      <c r="J62" s="237" t="s">
        <v>353</v>
      </c>
      <c r="K62" s="238">
        <v>0.5</v>
      </c>
      <c r="L62" s="82" t="s">
        <v>340</v>
      </c>
      <c r="M62" s="82" t="s">
        <v>414</v>
      </c>
      <c r="N62" s="239">
        <v>1.5</v>
      </c>
      <c r="O62" s="2" t="s">
        <v>415</v>
      </c>
      <c r="P62" s="240" t="s">
        <v>416</v>
      </c>
    </row>
    <row r="63" spans="1:16" x14ac:dyDescent="0.25">
      <c r="I63" t="s">
        <v>70</v>
      </c>
      <c r="J63" s="237" t="s">
        <v>353</v>
      </c>
      <c r="K63" s="238">
        <v>0.5</v>
      </c>
      <c r="L63" s="82" t="s">
        <v>340</v>
      </c>
      <c r="M63" s="82" t="s">
        <v>414</v>
      </c>
      <c r="N63" s="239">
        <v>1.5</v>
      </c>
      <c r="O63" s="2" t="s">
        <v>415</v>
      </c>
      <c r="P63" s="240" t="s">
        <v>416</v>
      </c>
    </row>
    <row r="64" spans="1:16" x14ac:dyDescent="0.25">
      <c r="I64" t="s">
        <v>218</v>
      </c>
      <c r="J64" s="237" t="s">
        <v>419</v>
      </c>
      <c r="K64" s="238">
        <v>0.5</v>
      </c>
      <c r="L64" s="82" t="s">
        <v>340</v>
      </c>
      <c r="M64" s="82" t="s">
        <v>414</v>
      </c>
      <c r="N64" s="239">
        <v>1.5</v>
      </c>
      <c r="O64" s="2" t="s">
        <v>415</v>
      </c>
      <c r="P64" s="240" t="s">
        <v>416</v>
      </c>
    </row>
    <row r="65" spans="9:16" x14ac:dyDescent="0.25">
      <c r="I65" t="s">
        <v>74</v>
      </c>
      <c r="J65" s="237" t="s">
        <v>353</v>
      </c>
      <c r="K65" s="238">
        <v>0.5</v>
      </c>
      <c r="L65" s="82" t="s">
        <v>340</v>
      </c>
      <c r="M65" s="82" t="s">
        <v>414</v>
      </c>
      <c r="N65" s="239">
        <v>1.5</v>
      </c>
      <c r="O65" s="2" t="s">
        <v>415</v>
      </c>
      <c r="P65" s="240" t="s">
        <v>416</v>
      </c>
    </row>
    <row r="66" spans="9:16" x14ac:dyDescent="0.25">
      <c r="I66" t="s">
        <v>16</v>
      </c>
      <c r="J66" s="237" t="s">
        <v>353</v>
      </c>
      <c r="K66" s="238">
        <v>0.5</v>
      </c>
      <c r="L66" s="82" t="s">
        <v>340</v>
      </c>
      <c r="M66" s="82" t="s">
        <v>414</v>
      </c>
      <c r="N66" s="239">
        <v>1.5</v>
      </c>
      <c r="O66" s="2" t="s">
        <v>415</v>
      </c>
      <c r="P66" s="240" t="s">
        <v>416</v>
      </c>
    </row>
    <row r="67" spans="9:16" x14ac:dyDescent="0.25">
      <c r="I67" t="s">
        <v>80</v>
      </c>
      <c r="J67" s="237" t="s">
        <v>353</v>
      </c>
      <c r="K67" s="238">
        <v>0.5</v>
      </c>
      <c r="L67" s="82" t="s">
        <v>340</v>
      </c>
      <c r="M67" s="82" t="s">
        <v>414</v>
      </c>
      <c r="N67" s="239">
        <v>1.5</v>
      </c>
      <c r="O67" s="2" t="s">
        <v>415</v>
      </c>
      <c r="P67" s="240" t="s">
        <v>416</v>
      </c>
    </row>
    <row r="68" spans="9:16" x14ac:dyDescent="0.25">
      <c r="I68" t="s">
        <v>29</v>
      </c>
      <c r="J68" s="237" t="s">
        <v>353</v>
      </c>
      <c r="K68" s="238">
        <v>0.5</v>
      </c>
      <c r="L68" s="82" t="s">
        <v>340</v>
      </c>
      <c r="M68" s="82" t="s">
        <v>414</v>
      </c>
      <c r="N68" s="239">
        <v>1.5</v>
      </c>
      <c r="O68" s="2" t="s">
        <v>415</v>
      </c>
      <c r="P68" s="240" t="s">
        <v>416</v>
      </c>
    </row>
    <row r="69" spans="9:16" x14ac:dyDescent="0.25">
      <c r="I69" t="s">
        <v>20</v>
      </c>
      <c r="J69" s="237" t="s">
        <v>353</v>
      </c>
      <c r="K69" s="238">
        <v>0.5</v>
      </c>
      <c r="L69" s="82" t="s">
        <v>340</v>
      </c>
      <c r="M69" s="82" t="s">
        <v>414</v>
      </c>
      <c r="N69" s="239">
        <v>1.5</v>
      </c>
      <c r="O69" s="2" t="s">
        <v>415</v>
      </c>
      <c r="P69" s="240" t="s">
        <v>416</v>
      </c>
    </row>
    <row r="70" spans="9:16" x14ac:dyDescent="0.25">
      <c r="I70" t="s">
        <v>42</v>
      </c>
      <c r="J70" s="237" t="s">
        <v>353</v>
      </c>
      <c r="K70" s="238">
        <v>0.5</v>
      </c>
      <c r="L70" s="82" t="s">
        <v>340</v>
      </c>
      <c r="M70" s="82" t="s">
        <v>414</v>
      </c>
      <c r="N70" s="239">
        <v>1.5</v>
      </c>
      <c r="O70" s="2" t="s">
        <v>415</v>
      </c>
      <c r="P70" s="240" t="s">
        <v>416</v>
      </c>
    </row>
    <row r="71" spans="9:16" x14ac:dyDescent="0.25">
      <c r="I71" t="s">
        <v>420</v>
      </c>
      <c r="J71" s="237" t="s">
        <v>381</v>
      </c>
      <c r="K71" s="238">
        <v>0.5</v>
      </c>
      <c r="L71" s="82" t="s">
        <v>340</v>
      </c>
      <c r="M71" s="82" t="s">
        <v>414</v>
      </c>
      <c r="N71" s="239">
        <v>1.5</v>
      </c>
      <c r="O71" s="2" t="s">
        <v>415</v>
      </c>
      <c r="P71" s="240" t="s">
        <v>416</v>
      </c>
    </row>
    <row r="72" spans="9:16" x14ac:dyDescent="0.25">
      <c r="I72" t="s">
        <v>221</v>
      </c>
      <c r="J72" s="237" t="s">
        <v>395</v>
      </c>
      <c r="K72" s="238">
        <v>0.5</v>
      </c>
      <c r="L72" s="82" t="s">
        <v>340</v>
      </c>
      <c r="M72" s="82" t="s">
        <v>414</v>
      </c>
      <c r="N72" s="239">
        <v>1.5</v>
      </c>
      <c r="O72" s="2" t="s">
        <v>415</v>
      </c>
      <c r="P72" s="240" t="s">
        <v>416</v>
      </c>
    </row>
    <row r="73" spans="9:16" x14ac:dyDescent="0.25">
      <c r="I73" t="s">
        <v>22</v>
      </c>
      <c r="J73" s="237" t="s">
        <v>353</v>
      </c>
      <c r="K73" s="238">
        <v>0.5</v>
      </c>
      <c r="L73" s="82" t="s">
        <v>340</v>
      </c>
      <c r="M73" s="82" t="s">
        <v>414</v>
      </c>
      <c r="N73" s="239">
        <v>1.5</v>
      </c>
      <c r="O73" s="2" t="s">
        <v>415</v>
      </c>
      <c r="P73" s="240" t="s">
        <v>416</v>
      </c>
    </row>
    <row r="74" spans="9:16" x14ac:dyDescent="0.25">
      <c r="I74" t="s">
        <v>17</v>
      </c>
      <c r="J74" s="237" t="s">
        <v>353</v>
      </c>
      <c r="K74" s="238">
        <v>0.5</v>
      </c>
      <c r="L74" s="82" t="s">
        <v>340</v>
      </c>
      <c r="M74" s="82" t="s">
        <v>414</v>
      </c>
      <c r="N74" s="239">
        <v>1.5</v>
      </c>
      <c r="O74" s="2" t="s">
        <v>415</v>
      </c>
      <c r="P74" s="240" t="s">
        <v>416</v>
      </c>
    </row>
    <row r="75" spans="9:16" x14ac:dyDescent="0.25">
      <c r="I75" t="s">
        <v>78</v>
      </c>
      <c r="J75" s="237" t="s">
        <v>353</v>
      </c>
      <c r="K75" s="238">
        <v>0.5</v>
      </c>
      <c r="L75" s="82" t="s">
        <v>340</v>
      </c>
      <c r="M75" s="82" t="s">
        <v>414</v>
      </c>
      <c r="N75" s="239">
        <v>1.5</v>
      </c>
      <c r="O75" s="2" t="s">
        <v>415</v>
      </c>
      <c r="P75" s="240" t="s">
        <v>416</v>
      </c>
    </row>
    <row r="76" spans="9:16" x14ac:dyDescent="0.25">
      <c r="I76" t="s">
        <v>91</v>
      </c>
      <c r="J76" s="237" t="s">
        <v>353</v>
      </c>
      <c r="K76" s="238">
        <v>0.5</v>
      </c>
      <c r="L76" s="82" t="s">
        <v>340</v>
      </c>
      <c r="M76" s="82" t="s">
        <v>414</v>
      </c>
      <c r="N76" s="239">
        <v>1.5</v>
      </c>
      <c r="O76" s="2" t="s">
        <v>415</v>
      </c>
      <c r="P76" s="240" t="s">
        <v>416</v>
      </c>
    </row>
    <row r="77" spans="9:16" x14ac:dyDescent="0.25">
      <c r="I77" t="s">
        <v>81</v>
      </c>
      <c r="J77" s="237" t="s">
        <v>353</v>
      </c>
      <c r="K77" s="238">
        <v>0.5</v>
      </c>
      <c r="L77" s="82" t="s">
        <v>340</v>
      </c>
      <c r="M77" s="82" t="s">
        <v>414</v>
      </c>
      <c r="N77" s="239">
        <v>1.5</v>
      </c>
      <c r="O77" s="2" t="s">
        <v>415</v>
      </c>
      <c r="P77" s="240" t="s">
        <v>416</v>
      </c>
    </row>
    <row r="78" spans="9:16" x14ac:dyDescent="0.25">
      <c r="I78" t="s">
        <v>214</v>
      </c>
      <c r="J78" s="237" t="s">
        <v>353</v>
      </c>
      <c r="K78" s="238">
        <v>0.5</v>
      </c>
      <c r="L78" s="82" t="s">
        <v>340</v>
      </c>
      <c r="M78" s="82" t="s">
        <v>414</v>
      </c>
      <c r="N78" s="239">
        <v>1.5</v>
      </c>
      <c r="O78" s="2" t="s">
        <v>415</v>
      </c>
      <c r="P78" s="240" t="s">
        <v>416</v>
      </c>
    </row>
    <row r="79" spans="9:16" x14ac:dyDescent="0.25">
      <c r="I79" t="s">
        <v>92</v>
      </c>
      <c r="J79" s="237" t="s">
        <v>353</v>
      </c>
      <c r="K79" s="238">
        <v>0.5</v>
      </c>
      <c r="L79" s="82" t="s">
        <v>340</v>
      </c>
      <c r="M79" s="82" t="s">
        <v>414</v>
      </c>
      <c r="N79" s="239">
        <v>1.5</v>
      </c>
      <c r="O79" s="2" t="s">
        <v>415</v>
      </c>
      <c r="P79" s="240" t="s">
        <v>416</v>
      </c>
    </row>
    <row r="80" spans="9:16" x14ac:dyDescent="0.25">
      <c r="I80" t="s">
        <v>49</v>
      </c>
      <c r="J80" s="237" t="s">
        <v>353</v>
      </c>
      <c r="K80" s="238">
        <v>0.5</v>
      </c>
      <c r="L80" s="82" t="s">
        <v>340</v>
      </c>
      <c r="M80" s="82" t="s">
        <v>414</v>
      </c>
      <c r="N80" s="239">
        <v>1.5</v>
      </c>
      <c r="O80" s="2" t="s">
        <v>415</v>
      </c>
      <c r="P80" s="240" t="s">
        <v>416</v>
      </c>
    </row>
    <row r="81" spans="9:16" x14ac:dyDescent="0.25">
      <c r="I81" t="s">
        <v>77</v>
      </c>
      <c r="J81" s="237" t="s">
        <v>332</v>
      </c>
      <c r="K81" s="238">
        <v>0.5</v>
      </c>
      <c r="L81" s="82" t="s">
        <v>340</v>
      </c>
      <c r="M81" s="82" t="s">
        <v>414</v>
      </c>
      <c r="N81" s="239">
        <v>1.5</v>
      </c>
      <c r="O81" s="2" t="s">
        <v>415</v>
      </c>
      <c r="P81" s="240" t="s">
        <v>416</v>
      </c>
    </row>
    <row r="82" spans="9:16" x14ac:dyDescent="0.25">
      <c r="I82" t="s">
        <v>53</v>
      </c>
      <c r="J82" s="237" t="s">
        <v>353</v>
      </c>
      <c r="K82" s="238">
        <v>0.48</v>
      </c>
      <c r="L82" s="82" t="s">
        <v>421</v>
      </c>
      <c r="M82" s="82" t="s">
        <v>414</v>
      </c>
      <c r="N82" s="239">
        <v>1.5</v>
      </c>
      <c r="O82" s="2" t="s">
        <v>415</v>
      </c>
      <c r="P82" s="240" t="s">
        <v>416</v>
      </c>
    </row>
    <row r="83" spans="9:16" x14ac:dyDescent="0.25">
      <c r="I83" t="s">
        <v>93</v>
      </c>
      <c r="J83" s="237" t="s">
        <v>353</v>
      </c>
      <c r="K83" s="238">
        <v>0.48</v>
      </c>
      <c r="L83" s="82" t="s">
        <v>421</v>
      </c>
      <c r="M83" s="82" t="s">
        <v>414</v>
      </c>
      <c r="N83" s="239">
        <v>1.5</v>
      </c>
      <c r="O83" s="2" t="s">
        <v>415</v>
      </c>
      <c r="P83" s="240" t="s">
        <v>416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E9D5-A75D-481C-A63E-74E3CD5F1F85}">
  <sheetPr>
    <tabColor theme="5" tint="0.39997558519241921"/>
  </sheetPr>
  <dimension ref="A2:E34"/>
  <sheetViews>
    <sheetView workbookViewId="0">
      <selection activeCell="B117" sqref="B117:C117"/>
    </sheetView>
  </sheetViews>
  <sheetFormatPr baseColWidth="10" defaultRowHeight="15" x14ac:dyDescent="0.25"/>
  <cols>
    <col min="1" max="1" width="24.7109375" bestFit="1" customWidth="1"/>
    <col min="2" max="2" width="21" bestFit="1" customWidth="1"/>
    <col min="3" max="4" width="11.28515625" bestFit="1" customWidth="1"/>
    <col min="5" max="5" width="11.7109375" bestFit="1" customWidth="1"/>
    <col min="6" max="6" width="11.28515625" bestFit="1" customWidth="1"/>
    <col min="7" max="7" width="11.7109375" bestFit="1" customWidth="1"/>
    <col min="8" max="8" width="13" bestFit="1" customWidth="1"/>
    <col min="9" max="9" width="8" bestFit="1" customWidth="1"/>
    <col min="10" max="10" width="16" bestFit="1" customWidth="1"/>
    <col min="11" max="11" width="13" bestFit="1" customWidth="1"/>
    <col min="12" max="12" width="4.28515625" bestFit="1" customWidth="1"/>
    <col min="13" max="13" width="6.140625" bestFit="1" customWidth="1"/>
    <col min="14" max="14" width="16" bestFit="1" customWidth="1"/>
    <col min="15" max="15" width="13" bestFit="1" customWidth="1"/>
    <col min="16" max="16" width="4.28515625" bestFit="1" customWidth="1"/>
    <col min="17" max="17" width="6.140625" bestFit="1" customWidth="1"/>
    <col min="18" max="18" width="16" bestFit="1" customWidth="1"/>
    <col min="19" max="19" width="11.7109375" bestFit="1" customWidth="1"/>
  </cols>
  <sheetData>
    <row r="2" spans="1:5" x14ac:dyDescent="0.25">
      <c r="A2" t="s">
        <v>310</v>
      </c>
      <c r="B2" t="s">
        <v>320</v>
      </c>
    </row>
    <row r="3" spans="1:5" x14ac:dyDescent="0.25">
      <c r="A3" t="s">
        <v>312</v>
      </c>
      <c r="B3" t="s">
        <v>422</v>
      </c>
    </row>
    <row r="4" spans="1:5" x14ac:dyDescent="0.25">
      <c r="A4" t="s">
        <v>423</v>
      </c>
      <c r="B4" t="s">
        <v>424</v>
      </c>
    </row>
    <row r="6" spans="1:5" x14ac:dyDescent="0.25">
      <c r="A6" t="s">
        <v>425</v>
      </c>
      <c r="B6" t="s">
        <v>97</v>
      </c>
    </row>
    <row r="7" spans="1:5" x14ac:dyDescent="0.25">
      <c r="A7" t="s">
        <v>4</v>
      </c>
      <c r="B7" t="s">
        <v>426</v>
      </c>
      <c r="C7" t="s">
        <v>427</v>
      </c>
      <c r="D7" t="s">
        <v>428</v>
      </c>
      <c r="E7" t="s">
        <v>59</v>
      </c>
    </row>
    <row r="8" spans="1:5" x14ac:dyDescent="0.25">
      <c r="A8" s="2" t="s">
        <v>87</v>
      </c>
      <c r="B8" s="241"/>
      <c r="C8" s="241"/>
      <c r="D8" s="241">
        <v>92</v>
      </c>
      <c r="E8" s="241">
        <v>92</v>
      </c>
    </row>
    <row r="9" spans="1:5" x14ac:dyDescent="0.25">
      <c r="A9" s="2" t="s">
        <v>13</v>
      </c>
      <c r="B9" s="241"/>
      <c r="C9" s="241"/>
      <c r="D9" s="241">
        <v>90</v>
      </c>
      <c r="E9" s="241">
        <v>90</v>
      </c>
    </row>
    <row r="10" spans="1:5" x14ac:dyDescent="0.25">
      <c r="A10" s="2" t="s">
        <v>83</v>
      </c>
      <c r="B10" s="241"/>
      <c r="C10" s="241"/>
      <c r="D10" s="241">
        <v>89</v>
      </c>
      <c r="E10" s="241">
        <v>89</v>
      </c>
    </row>
    <row r="11" spans="1:5" x14ac:dyDescent="0.25">
      <c r="A11" s="2" t="s">
        <v>263</v>
      </c>
      <c r="B11" s="241"/>
      <c r="C11" s="241"/>
      <c r="D11" s="241">
        <v>88</v>
      </c>
      <c r="E11" s="241">
        <v>88</v>
      </c>
    </row>
    <row r="12" spans="1:5" x14ac:dyDescent="0.25">
      <c r="A12" s="2" t="s">
        <v>51</v>
      </c>
      <c r="B12" s="241"/>
      <c r="C12" s="241"/>
      <c r="D12" s="241">
        <v>87</v>
      </c>
      <c r="E12" s="241">
        <v>87</v>
      </c>
    </row>
    <row r="13" spans="1:5" x14ac:dyDescent="0.25">
      <c r="A13" s="2" t="s">
        <v>220</v>
      </c>
      <c r="B13" s="241"/>
      <c r="C13" s="241"/>
      <c r="D13" s="241">
        <v>86</v>
      </c>
      <c r="E13" s="241">
        <v>86</v>
      </c>
    </row>
    <row r="14" spans="1:5" x14ac:dyDescent="0.25">
      <c r="A14" s="2" t="s">
        <v>89</v>
      </c>
      <c r="B14" s="241"/>
      <c r="C14" s="241">
        <v>86</v>
      </c>
      <c r="D14" s="241"/>
      <c r="E14" s="241">
        <v>86</v>
      </c>
    </row>
    <row r="15" spans="1:5" x14ac:dyDescent="0.25">
      <c r="A15" s="2" t="s">
        <v>94</v>
      </c>
      <c r="B15" s="241"/>
      <c r="C15" s="241">
        <v>85</v>
      </c>
      <c r="D15" s="241"/>
      <c r="E15" s="241">
        <v>85</v>
      </c>
    </row>
    <row r="16" spans="1:5" x14ac:dyDescent="0.25">
      <c r="A16" s="2" t="s">
        <v>88</v>
      </c>
      <c r="B16" s="241">
        <v>84</v>
      </c>
      <c r="C16" s="241"/>
      <c r="D16" s="241"/>
      <c r="E16" s="241">
        <v>84</v>
      </c>
    </row>
    <row r="17" spans="1:5" x14ac:dyDescent="0.25">
      <c r="A17" s="2" t="s">
        <v>25</v>
      </c>
      <c r="B17" s="241"/>
      <c r="C17" s="241"/>
      <c r="D17" s="241">
        <v>84</v>
      </c>
      <c r="E17" s="241">
        <v>84</v>
      </c>
    </row>
    <row r="18" spans="1:5" x14ac:dyDescent="0.25">
      <c r="A18" s="2" t="s">
        <v>34</v>
      </c>
      <c r="B18" s="241"/>
      <c r="C18" s="241"/>
      <c r="D18" s="241">
        <v>83</v>
      </c>
      <c r="E18" s="241">
        <v>83</v>
      </c>
    </row>
    <row r="19" spans="1:5" x14ac:dyDescent="0.25">
      <c r="A19" s="2" t="s">
        <v>35</v>
      </c>
      <c r="B19" s="241"/>
      <c r="C19" s="241"/>
      <c r="D19" s="241">
        <v>82</v>
      </c>
      <c r="E19" s="241">
        <v>82</v>
      </c>
    </row>
    <row r="20" spans="1:5" x14ac:dyDescent="0.25">
      <c r="A20" s="2" t="s">
        <v>221</v>
      </c>
      <c r="B20" s="241"/>
      <c r="C20" s="241"/>
      <c r="D20" s="241">
        <v>81</v>
      </c>
      <c r="E20" s="241">
        <v>81</v>
      </c>
    </row>
    <row r="21" spans="1:5" x14ac:dyDescent="0.25">
      <c r="A21" s="2" t="s">
        <v>30</v>
      </c>
      <c r="B21" s="241"/>
      <c r="C21" s="241"/>
      <c r="D21" s="241">
        <v>80</v>
      </c>
      <c r="E21" s="241">
        <v>80</v>
      </c>
    </row>
    <row r="22" spans="1:5" x14ac:dyDescent="0.25">
      <c r="A22" s="2" t="s">
        <v>43</v>
      </c>
      <c r="B22" s="241"/>
      <c r="C22" s="241"/>
      <c r="D22" s="241">
        <v>80</v>
      </c>
      <c r="E22" s="241">
        <v>80</v>
      </c>
    </row>
    <row r="23" spans="1:5" x14ac:dyDescent="0.25">
      <c r="A23" s="2" t="s">
        <v>55</v>
      </c>
      <c r="B23" s="241"/>
      <c r="C23" s="241"/>
      <c r="D23" s="241">
        <v>80</v>
      </c>
      <c r="E23" s="241">
        <v>80</v>
      </c>
    </row>
    <row r="24" spans="1:5" x14ac:dyDescent="0.25">
      <c r="A24" s="2" t="s">
        <v>262</v>
      </c>
      <c r="B24" s="241"/>
      <c r="C24" s="241"/>
      <c r="D24" s="241">
        <v>77</v>
      </c>
      <c r="E24" s="241">
        <v>77</v>
      </c>
    </row>
    <row r="25" spans="1:5" x14ac:dyDescent="0.25">
      <c r="A25" s="2" t="s">
        <v>269</v>
      </c>
      <c r="B25" s="241"/>
      <c r="C25" s="241">
        <v>76</v>
      </c>
      <c r="D25" s="241"/>
      <c r="E25" s="241">
        <v>76</v>
      </c>
    </row>
    <row r="26" spans="1:5" x14ac:dyDescent="0.25">
      <c r="A26" s="2" t="s">
        <v>281</v>
      </c>
      <c r="B26" s="241"/>
      <c r="C26" s="241"/>
      <c r="D26" s="241">
        <v>75</v>
      </c>
      <c r="E26" s="241">
        <v>75</v>
      </c>
    </row>
    <row r="27" spans="1:5" x14ac:dyDescent="0.25">
      <c r="A27" s="2" t="s">
        <v>252</v>
      </c>
      <c r="B27" s="241">
        <v>74</v>
      </c>
      <c r="C27" s="241"/>
      <c r="D27" s="241"/>
      <c r="E27" s="241">
        <v>74</v>
      </c>
    </row>
    <row r="28" spans="1:5" x14ac:dyDescent="0.25">
      <c r="A28" s="2" t="s">
        <v>286</v>
      </c>
      <c r="B28" s="241">
        <v>73</v>
      </c>
      <c r="C28" s="241"/>
      <c r="D28" s="241"/>
      <c r="E28" s="241">
        <v>73</v>
      </c>
    </row>
    <row r="29" spans="1:5" x14ac:dyDescent="0.25">
      <c r="A29" s="2" t="s">
        <v>255</v>
      </c>
      <c r="B29" s="241">
        <v>72</v>
      </c>
      <c r="C29" s="241"/>
      <c r="D29" s="241"/>
      <c r="E29" s="241">
        <v>72</v>
      </c>
    </row>
    <row r="30" spans="1:5" x14ac:dyDescent="0.25">
      <c r="A30" s="2" t="s">
        <v>253</v>
      </c>
      <c r="B30" s="241"/>
      <c r="C30" s="241">
        <v>71</v>
      </c>
      <c r="D30" s="241"/>
      <c r="E30" s="241">
        <v>71</v>
      </c>
    </row>
    <row r="31" spans="1:5" x14ac:dyDescent="0.25">
      <c r="A31" s="2" t="s">
        <v>282</v>
      </c>
      <c r="B31" s="241"/>
      <c r="C31" s="241">
        <v>71</v>
      </c>
      <c r="D31" s="241"/>
      <c r="E31" s="241">
        <v>71</v>
      </c>
    </row>
    <row r="32" spans="1:5" x14ac:dyDescent="0.25">
      <c r="A32" s="2" t="s">
        <v>285</v>
      </c>
      <c r="B32" s="241">
        <v>70</v>
      </c>
      <c r="C32" s="241"/>
      <c r="D32" s="241"/>
      <c r="E32" s="241">
        <v>70</v>
      </c>
    </row>
    <row r="33" spans="1:5" x14ac:dyDescent="0.25">
      <c r="A33" s="2" t="s">
        <v>279</v>
      </c>
      <c r="B33" s="241"/>
      <c r="C33" s="241">
        <v>70</v>
      </c>
      <c r="D33" s="241"/>
      <c r="E33" s="241">
        <v>70</v>
      </c>
    </row>
    <row r="34" spans="1:5" x14ac:dyDescent="0.25">
      <c r="A34" s="2" t="s">
        <v>59</v>
      </c>
      <c r="B34" s="241">
        <v>74.599999999999994</v>
      </c>
      <c r="C34" s="241">
        <v>76.5</v>
      </c>
      <c r="D34" s="241">
        <v>83.6</v>
      </c>
      <c r="E34" s="241">
        <v>80.230769230769226</v>
      </c>
    </row>
  </sheetData>
  <conditionalFormatting pivot="1" sqref="B8:E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20BC-C2A0-4F53-A368-498D7A1E4ACC}">
  <sheetPr>
    <tabColor theme="5" tint="0.39997558519241921"/>
  </sheetPr>
  <dimension ref="A1:L59"/>
  <sheetViews>
    <sheetView workbookViewId="0">
      <selection activeCell="B117" sqref="B117:C117"/>
    </sheetView>
  </sheetViews>
  <sheetFormatPr baseColWidth="10" defaultColWidth="9" defaultRowHeight="15" x14ac:dyDescent="0.25"/>
  <cols>
    <col min="1" max="1" width="8.85546875" bestFit="1" customWidth="1"/>
    <col min="2" max="2" width="15.42578125" bestFit="1" customWidth="1"/>
    <col min="3" max="3" width="13.28515625" style="82" bestFit="1" customWidth="1"/>
    <col min="4" max="4" width="8.5703125" customWidth="1"/>
    <col min="5" max="5" width="11.28515625" bestFit="1" customWidth="1"/>
    <col min="6" max="6" width="8" bestFit="1" customWidth="1"/>
    <col min="7" max="7" width="33.85546875" customWidth="1"/>
    <col min="8" max="8" width="34.140625" customWidth="1"/>
    <col min="9" max="9" width="22.7109375" customWidth="1"/>
    <col min="10" max="10" width="25.7109375" customWidth="1"/>
    <col min="11" max="11" width="14.7109375" bestFit="1" customWidth="1"/>
    <col min="12" max="12" width="15.85546875" bestFit="1" customWidth="1"/>
  </cols>
  <sheetData>
    <row r="1" spans="1:12" x14ac:dyDescent="0.25">
      <c r="A1" s="232" t="s">
        <v>148</v>
      </c>
      <c r="B1" s="232" t="s">
        <v>382</v>
      </c>
      <c r="C1" s="233" t="s">
        <v>309</v>
      </c>
      <c r="D1" s="232" t="s">
        <v>310</v>
      </c>
      <c r="E1" s="232" t="s">
        <v>311</v>
      </c>
      <c r="F1" s="232" t="s">
        <v>312</v>
      </c>
      <c r="G1" s="232" t="s">
        <v>429</v>
      </c>
      <c r="H1" s="232" t="s">
        <v>430</v>
      </c>
      <c r="I1" s="232" t="s">
        <v>431</v>
      </c>
      <c r="J1" s="232" t="s">
        <v>432</v>
      </c>
      <c r="K1" s="232" t="s">
        <v>423</v>
      </c>
      <c r="L1" s="232" t="s">
        <v>433</v>
      </c>
    </row>
    <row r="2" spans="1:12" x14ac:dyDescent="0.25">
      <c r="A2" t="s">
        <v>87</v>
      </c>
      <c r="B2" t="s">
        <v>434</v>
      </c>
      <c r="C2" s="82">
        <v>92</v>
      </c>
      <c r="D2" t="s">
        <v>320</v>
      </c>
      <c r="E2" t="s">
        <v>428</v>
      </c>
      <c r="F2" t="s">
        <v>322</v>
      </c>
      <c r="G2" t="s">
        <v>435</v>
      </c>
      <c r="H2" t="s">
        <v>436</v>
      </c>
      <c r="I2" t="s">
        <v>437</v>
      </c>
      <c r="J2" t="s">
        <v>438</v>
      </c>
      <c r="K2" t="s">
        <v>424</v>
      </c>
      <c r="L2" t="s">
        <v>439</v>
      </c>
    </row>
    <row r="3" spans="1:12" x14ac:dyDescent="0.25">
      <c r="A3" t="s">
        <v>13</v>
      </c>
      <c r="B3" t="s">
        <v>434</v>
      </c>
      <c r="C3" s="82">
        <v>90</v>
      </c>
      <c r="D3" t="s">
        <v>320</v>
      </c>
      <c r="E3" t="s">
        <v>428</v>
      </c>
      <c r="F3" t="s">
        <v>328</v>
      </c>
      <c r="G3" t="s">
        <v>435</v>
      </c>
      <c r="H3" t="s">
        <v>436</v>
      </c>
      <c r="I3" t="s">
        <v>437</v>
      </c>
      <c r="J3" t="s">
        <v>438</v>
      </c>
      <c r="K3" t="s">
        <v>424</v>
      </c>
      <c r="L3" t="s">
        <v>439</v>
      </c>
    </row>
    <row r="4" spans="1:12" x14ac:dyDescent="0.25">
      <c r="A4" t="s">
        <v>83</v>
      </c>
      <c r="B4" t="s">
        <v>434</v>
      </c>
      <c r="C4" s="82">
        <v>89</v>
      </c>
      <c r="D4" t="s">
        <v>320</v>
      </c>
      <c r="E4" t="s">
        <v>428</v>
      </c>
      <c r="F4" t="s">
        <v>322</v>
      </c>
      <c r="G4" t="s">
        <v>435</v>
      </c>
      <c r="H4" t="s">
        <v>436</v>
      </c>
      <c r="I4" t="s">
        <v>437</v>
      </c>
      <c r="J4" t="s">
        <v>438</v>
      </c>
      <c r="K4" t="s">
        <v>424</v>
      </c>
      <c r="L4" t="s">
        <v>439</v>
      </c>
    </row>
    <row r="5" spans="1:12" x14ac:dyDescent="0.25">
      <c r="A5" t="s">
        <v>263</v>
      </c>
      <c r="B5" t="s">
        <v>434</v>
      </c>
      <c r="C5" s="82">
        <v>88</v>
      </c>
      <c r="D5" t="s">
        <v>320</v>
      </c>
      <c r="E5" t="s">
        <v>428</v>
      </c>
      <c r="F5" t="s">
        <v>328</v>
      </c>
      <c r="G5" t="s">
        <v>435</v>
      </c>
      <c r="H5" t="s">
        <v>436</v>
      </c>
      <c r="I5" t="s">
        <v>437</v>
      </c>
      <c r="J5" t="s">
        <v>438</v>
      </c>
      <c r="K5" t="s">
        <v>424</v>
      </c>
      <c r="L5" t="s">
        <v>439</v>
      </c>
    </row>
    <row r="6" spans="1:12" x14ac:dyDescent="0.25">
      <c r="A6" t="s">
        <v>51</v>
      </c>
      <c r="B6" t="s">
        <v>440</v>
      </c>
      <c r="C6" s="82">
        <v>87</v>
      </c>
      <c r="D6" t="s">
        <v>320</v>
      </c>
      <c r="E6" t="s">
        <v>428</v>
      </c>
      <c r="F6" t="s">
        <v>322</v>
      </c>
      <c r="G6" t="s">
        <v>435</v>
      </c>
      <c r="H6" t="s">
        <v>436</v>
      </c>
      <c r="I6" t="s">
        <v>437</v>
      </c>
      <c r="J6" t="s">
        <v>438</v>
      </c>
      <c r="K6" t="s">
        <v>424</v>
      </c>
      <c r="L6" t="s">
        <v>439</v>
      </c>
    </row>
    <row r="7" spans="1:12" x14ac:dyDescent="0.25">
      <c r="A7" t="s">
        <v>89</v>
      </c>
      <c r="B7" t="s">
        <v>434</v>
      </c>
      <c r="C7" s="82">
        <v>86</v>
      </c>
      <c r="D7" t="s">
        <v>320</v>
      </c>
      <c r="E7" t="s">
        <v>427</v>
      </c>
      <c r="F7" t="s">
        <v>322</v>
      </c>
      <c r="G7" t="s">
        <v>435</v>
      </c>
      <c r="H7" t="s">
        <v>436</v>
      </c>
      <c r="I7" t="s">
        <v>437</v>
      </c>
      <c r="J7" t="s">
        <v>438</v>
      </c>
      <c r="K7" t="s">
        <v>424</v>
      </c>
      <c r="L7" t="s">
        <v>439</v>
      </c>
    </row>
    <row r="8" spans="1:12" x14ac:dyDescent="0.25">
      <c r="A8" t="s">
        <v>220</v>
      </c>
      <c r="B8" t="s">
        <v>434</v>
      </c>
      <c r="C8" s="82">
        <v>86</v>
      </c>
      <c r="D8" t="s">
        <v>320</v>
      </c>
      <c r="E8" t="s">
        <v>428</v>
      </c>
      <c r="F8" t="s">
        <v>322</v>
      </c>
      <c r="G8" t="s">
        <v>435</v>
      </c>
      <c r="H8" t="s">
        <v>436</v>
      </c>
      <c r="I8" t="s">
        <v>437</v>
      </c>
      <c r="J8" t="s">
        <v>438</v>
      </c>
      <c r="K8" t="s">
        <v>424</v>
      </c>
      <c r="L8" t="s">
        <v>439</v>
      </c>
    </row>
    <row r="9" spans="1:12" x14ac:dyDescent="0.25">
      <c r="A9" t="s">
        <v>94</v>
      </c>
      <c r="B9" t="s">
        <v>434</v>
      </c>
      <c r="C9" s="82">
        <v>85</v>
      </c>
      <c r="D9" t="s">
        <v>320</v>
      </c>
      <c r="E9" t="s">
        <v>427</v>
      </c>
      <c r="F9" t="s">
        <v>322</v>
      </c>
      <c r="G9" t="s">
        <v>435</v>
      </c>
      <c r="H9" t="s">
        <v>436</v>
      </c>
      <c r="I9" t="s">
        <v>437</v>
      </c>
      <c r="J9" t="s">
        <v>438</v>
      </c>
      <c r="K9" t="s">
        <v>424</v>
      </c>
      <c r="L9" t="s">
        <v>439</v>
      </c>
    </row>
    <row r="10" spans="1:12" x14ac:dyDescent="0.25">
      <c r="A10" t="s">
        <v>88</v>
      </c>
      <c r="B10" t="s">
        <v>332</v>
      </c>
      <c r="C10" s="82">
        <v>84</v>
      </c>
      <c r="D10" t="s">
        <v>320</v>
      </c>
      <c r="E10" t="s">
        <v>426</v>
      </c>
      <c r="F10" t="s">
        <v>347</v>
      </c>
      <c r="G10" t="s">
        <v>435</v>
      </c>
      <c r="H10" t="s">
        <v>436</v>
      </c>
      <c r="I10" t="s">
        <v>437</v>
      </c>
      <c r="J10" t="s">
        <v>438</v>
      </c>
      <c r="K10" t="s">
        <v>424</v>
      </c>
      <c r="L10" t="s">
        <v>439</v>
      </c>
    </row>
    <row r="11" spans="1:12" x14ac:dyDescent="0.25">
      <c r="A11" t="s">
        <v>25</v>
      </c>
      <c r="B11" t="s">
        <v>434</v>
      </c>
      <c r="C11" s="82">
        <v>84</v>
      </c>
      <c r="D11" t="s">
        <v>320</v>
      </c>
      <c r="E11" t="s">
        <v>428</v>
      </c>
      <c r="F11" t="s">
        <v>328</v>
      </c>
      <c r="G11" t="s">
        <v>435</v>
      </c>
      <c r="H11" t="s">
        <v>436</v>
      </c>
      <c r="I11" t="s">
        <v>437</v>
      </c>
      <c r="J11" t="s">
        <v>438</v>
      </c>
      <c r="K11" t="s">
        <v>424</v>
      </c>
      <c r="L11" t="s">
        <v>439</v>
      </c>
    </row>
    <row r="12" spans="1:12" x14ac:dyDescent="0.25">
      <c r="A12" t="s">
        <v>34</v>
      </c>
      <c r="B12" t="s">
        <v>332</v>
      </c>
      <c r="C12" s="82">
        <v>83</v>
      </c>
      <c r="D12" t="s">
        <v>320</v>
      </c>
      <c r="E12" t="s">
        <v>428</v>
      </c>
      <c r="F12" t="s">
        <v>328</v>
      </c>
      <c r="G12" t="s">
        <v>435</v>
      </c>
      <c r="H12" t="s">
        <v>436</v>
      </c>
      <c r="I12" t="s">
        <v>437</v>
      </c>
      <c r="J12" t="s">
        <v>438</v>
      </c>
      <c r="K12" t="s">
        <v>424</v>
      </c>
      <c r="L12" t="s">
        <v>439</v>
      </c>
    </row>
    <row r="13" spans="1:12" x14ac:dyDescent="0.25">
      <c r="A13" t="s">
        <v>35</v>
      </c>
      <c r="B13" t="s">
        <v>332</v>
      </c>
      <c r="C13" s="82">
        <v>82</v>
      </c>
      <c r="D13" t="s">
        <v>320</v>
      </c>
      <c r="E13" t="s">
        <v>428</v>
      </c>
      <c r="F13" t="s">
        <v>328</v>
      </c>
      <c r="G13" t="s">
        <v>435</v>
      </c>
      <c r="H13" t="s">
        <v>436</v>
      </c>
      <c r="I13" t="s">
        <v>437</v>
      </c>
      <c r="J13" t="s">
        <v>438</v>
      </c>
      <c r="K13" t="s">
        <v>424</v>
      </c>
      <c r="L13" t="s">
        <v>439</v>
      </c>
    </row>
    <row r="14" spans="1:12" x14ac:dyDescent="0.25">
      <c r="A14" t="s">
        <v>221</v>
      </c>
      <c r="B14" t="s">
        <v>441</v>
      </c>
      <c r="C14" s="82">
        <v>81</v>
      </c>
      <c r="D14" t="s">
        <v>320</v>
      </c>
      <c r="E14" t="s">
        <v>428</v>
      </c>
      <c r="F14" t="s">
        <v>328</v>
      </c>
      <c r="G14" t="s">
        <v>435</v>
      </c>
      <c r="H14" t="s">
        <v>436</v>
      </c>
      <c r="I14" t="s">
        <v>437</v>
      </c>
      <c r="J14" t="s">
        <v>438</v>
      </c>
      <c r="K14" t="s">
        <v>424</v>
      </c>
      <c r="L14" t="s">
        <v>439</v>
      </c>
    </row>
    <row r="15" spans="1:12" x14ac:dyDescent="0.25">
      <c r="A15" t="s">
        <v>77</v>
      </c>
      <c r="B15" t="s">
        <v>332</v>
      </c>
      <c r="C15" s="82">
        <v>81</v>
      </c>
      <c r="D15" t="s">
        <v>320</v>
      </c>
      <c r="E15" t="s">
        <v>428</v>
      </c>
      <c r="F15" t="s">
        <v>357</v>
      </c>
      <c r="G15" t="s">
        <v>435</v>
      </c>
      <c r="H15" t="s">
        <v>436</v>
      </c>
      <c r="I15" t="s">
        <v>437</v>
      </c>
      <c r="J15" t="s">
        <v>438</v>
      </c>
      <c r="K15" t="s">
        <v>424</v>
      </c>
      <c r="L15" t="s">
        <v>439</v>
      </c>
    </row>
    <row r="16" spans="1:12" x14ac:dyDescent="0.25">
      <c r="A16" t="s">
        <v>55</v>
      </c>
      <c r="B16" t="s">
        <v>332</v>
      </c>
      <c r="C16" s="82">
        <v>80</v>
      </c>
      <c r="D16" t="s">
        <v>320</v>
      </c>
      <c r="E16" t="s">
        <v>428</v>
      </c>
      <c r="F16" t="s">
        <v>328</v>
      </c>
      <c r="G16" t="s">
        <v>435</v>
      </c>
      <c r="H16" t="s">
        <v>436</v>
      </c>
      <c r="I16" t="s">
        <v>437</v>
      </c>
      <c r="J16" t="s">
        <v>438</v>
      </c>
      <c r="K16" t="s">
        <v>424</v>
      </c>
      <c r="L16" t="s">
        <v>439</v>
      </c>
    </row>
    <row r="17" spans="1:12" x14ac:dyDescent="0.25">
      <c r="A17" t="s">
        <v>43</v>
      </c>
      <c r="B17" t="s">
        <v>332</v>
      </c>
      <c r="C17" s="82">
        <v>80</v>
      </c>
      <c r="D17" t="s">
        <v>320</v>
      </c>
      <c r="E17" t="s">
        <v>428</v>
      </c>
      <c r="F17" t="s">
        <v>328</v>
      </c>
      <c r="G17" t="s">
        <v>435</v>
      </c>
      <c r="H17" t="s">
        <v>436</v>
      </c>
      <c r="I17" t="s">
        <v>437</v>
      </c>
      <c r="J17" t="s">
        <v>438</v>
      </c>
      <c r="K17" t="s">
        <v>424</v>
      </c>
      <c r="L17" t="s">
        <v>439</v>
      </c>
    </row>
    <row r="18" spans="1:12" x14ac:dyDescent="0.25">
      <c r="A18" t="s">
        <v>30</v>
      </c>
      <c r="B18" t="s">
        <v>332</v>
      </c>
      <c r="C18" s="82">
        <v>80</v>
      </c>
      <c r="D18" t="s">
        <v>320</v>
      </c>
      <c r="E18" t="s">
        <v>428</v>
      </c>
      <c r="F18" t="s">
        <v>328</v>
      </c>
      <c r="G18" t="s">
        <v>435</v>
      </c>
      <c r="H18" t="s">
        <v>436</v>
      </c>
      <c r="I18" t="s">
        <v>437</v>
      </c>
      <c r="J18" t="s">
        <v>438</v>
      </c>
      <c r="K18" t="s">
        <v>424</v>
      </c>
      <c r="L18" t="s">
        <v>439</v>
      </c>
    </row>
    <row r="19" spans="1:12" x14ac:dyDescent="0.25">
      <c r="A19" t="s">
        <v>262</v>
      </c>
      <c r="B19" t="s">
        <v>442</v>
      </c>
      <c r="C19" s="82">
        <v>77</v>
      </c>
      <c r="D19" t="s">
        <v>320</v>
      </c>
      <c r="E19" t="s">
        <v>428</v>
      </c>
      <c r="F19" t="s">
        <v>322</v>
      </c>
      <c r="G19" t="s">
        <v>435</v>
      </c>
      <c r="H19" t="s">
        <v>436</v>
      </c>
      <c r="I19" t="s">
        <v>437</v>
      </c>
      <c r="J19" t="s">
        <v>438</v>
      </c>
      <c r="K19" t="s">
        <v>424</v>
      </c>
      <c r="L19" t="s">
        <v>439</v>
      </c>
    </row>
    <row r="20" spans="1:12" x14ac:dyDescent="0.25">
      <c r="A20" t="s">
        <v>269</v>
      </c>
      <c r="B20" t="s">
        <v>442</v>
      </c>
      <c r="C20" s="82">
        <v>76</v>
      </c>
      <c r="D20" t="s">
        <v>320</v>
      </c>
      <c r="E20" t="s">
        <v>427</v>
      </c>
      <c r="F20" t="s">
        <v>322</v>
      </c>
      <c r="G20" t="s">
        <v>435</v>
      </c>
      <c r="H20" t="s">
        <v>436</v>
      </c>
      <c r="I20" t="s">
        <v>437</v>
      </c>
      <c r="J20" t="s">
        <v>438</v>
      </c>
      <c r="K20" t="s">
        <v>424</v>
      </c>
      <c r="L20" t="s">
        <v>439</v>
      </c>
    </row>
    <row r="21" spans="1:12" x14ac:dyDescent="0.25">
      <c r="A21" t="s">
        <v>281</v>
      </c>
      <c r="B21" t="s">
        <v>442</v>
      </c>
      <c r="C21" s="82">
        <v>75</v>
      </c>
      <c r="D21" t="s">
        <v>320</v>
      </c>
      <c r="E21" t="s">
        <v>428</v>
      </c>
      <c r="F21" t="s">
        <v>322</v>
      </c>
      <c r="G21" t="s">
        <v>435</v>
      </c>
      <c r="H21" t="s">
        <v>436</v>
      </c>
      <c r="I21" t="s">
        <v>437</v>
      </c>
      <c r="J21" t="s">
        <v>438</v>
      </c>
      <c r="K21" t="s">
        <v>424</v>
      </c>
      <c r="L21" t="s">
        <v>439</v>
      </c>
    </row>
    <row r="22" spans="1:12" x14ac:dyDescent="0.25">
      <c r="A22" t="s">
        <v>252</v>
      </c>
      <c r="B22" t="s">
        <v>442</v>
      </c>
      <c r="C22" s="82">
        <v>74</v>
      </c>
      <c r="D22" t="s">
        <v>320</v>
      </c>
      <c r="E22" t="s">
        <v>426</v>
      </c>
      <c r="F22" t="s">
        <v>347</v>
      </c>
      <c r="G22" t="s">
        <v>435</v>
      </c>
      <c r="H22" t="s">
        <v>436</v>
      </c>
      <c r="I22" t="s">
        <v>437</v>
      </c>
      <c r="J22" t="s">
        <v>438</v>
      </c>
      <c r="K22" t="s">
        <v>424</v>
      </c>
      <c r="L22" t="s">
        <v>439</v>
      </c>
    </row>
    <row r="23" spans="1:12" x14ac:dyDescent="0.25">
      <c r="A23" t="s">
        <v>286</v>
      </c>
      <c r="B23" t="s">
        <v>442</v>
      </c>
      <c r="C23" s="82">
        <v>73</v>
      </c>
      <c r="D23" t="s">
        <v>320</v>
      </c>
      <c r="E23" t="s">
        <v>426</v>
      </c>
      <c r="F23" t="s">
        <v>347</v>
      </c>
      <c r="G23" t="s">
        <v>435</v>
      </c>
      <c r="H23" t="s">
        <v>436</v>
      </c>
      <c r="I23" t="s">
        <v>437</v>
      </c>
      <c r="J23" t="s">
        <v>438</v>
      </c>
      <c r="K23" t="s">
        <v>424</v>
      </c>
      <c r="L23" t="s">
        <v>439</v>
      </c>
    </row>
    <row r="24" spans="1:12" x14ac:dyDescent="0.25">
      <c r="A24" t="s">
        <v>255</v>
      </c>
      <c r="B24" t="s">
        <v>442</v>
      </c>
      <c r="C24" s="82">
        <v>72</v>
      </c>
      <c r="D24" t="s">
        <v>320</v>
      </c>
      <c r="E24" t="s">
        <v>426</v>
      </c>
      <c r="F24" t="s">
        <v>322</v>
      </c>
      <c r="G24" t="s">
        <v>435</v>
      </c>
      <c r="H24" t="s">
        <v>436</v>
      </c>
      <c r="I24" t="s">
        <v>437</v>
      </c>
      <c r="J24" t="s">
        <v>438</v>
      </c>
      <c r="K24" t="s">
        <v>424</v>
      </c>
      <c r="L24" t="s">
        <v>439</v>
      </c>
    </row>
    <row r="25" spans="1:12" x14ac:dyDescent="0.25">
      <c r="A25" t="s">
        <v>282</v>
      </c>
      <c r="B25" t="s">
        <v>442</v>
      </c>
      <c r="C25" s="82">
        <v>71</v>
      </c>
      <c r="D25" t="s">
        <v>320</v>
      </c>
      <c r="E25" t="s">
        <v>427</v>
      </c>
      <c r="F25" t="s">
        <v>328</v>
      </c>
      <c r="G25" t="s">
        <v>435</v>
      </c>
      <c r="H25" t="s">
        <v>436</v>
      </c>
      <c r="I25" t="s">
        <v>437</v>
      </c>
      <c r="J25" t="s">
        <v>438</v>
      </c>
      <c r="K25" t="s">
        <v>424</v>
      </c>
      <c r="L25" t="s">
        <v>439</v>
      </c>
    </row>
    <row r="26" spans="1:12" x14ac:dyDescent="0.25">
      <c r="A26" t="s">
        <v>253</v>
      </c>
      <c r="B26" t="s">
        <v>442</v>
      </c>
      <c r="C26" s="82">
        <v>71</v>
      </c>
      <c r="D26" t="s">
        <v>320</v>
      </c>
      <c r="E26" t="s">
        <v>427</v>
      </c>
      <c r="F26" t="s">
        <v>322</v>
      </c>
      <c r="G26" t="s">
        <v>435</v>
      </c>
      <c r="H26" t="s">
        <v>436</v>
      </c>
      <c r="I26" t="s">
        <v>437</v>
      </c>
      <c r="J26" t="s">
        <v>438</v>
      </c>
      <c r="K26" t="s">
        <v>424</v>
      </c>
      <c r="L26" t="s">
        <v>439</v>
      </c>
    </row>
    <row r="27" spans="1:12" x14ac:dyDescent="0.25">
      <c r="A27" t="s">
        <v>279</v>
      </c>
      <c r="B27" t="s">
        <v>442</v>
      </c>
      <c r="C27" s="82">
        <v>70</v>
      </c>
      <c r="D27" t="s">
        <v>320</v>
      </c>
      <c r="E27" t="s">
        <v>427</v>
      </c>
      <c r="F27" t="s">
        <v>328</v>
      </c>
      <c r="G27" t="s">
        <v>435</v>
      </c>
      <c r="H27" t="s">
        <v>436</v>
      </c>
      <c r="I27" t="s">
        <v>437</v>
      </c>
      <c r="J27" t="s">
        <v>438</v>
      </c>
      <c r="K27" t="s">
        <v>424</v>
      </c>
      <c r="L27" t="s">
        <v>439</v>
      </c>
    </row>
    <row r="28" spans="1:12" x14ac:dyDescent="0.25">
      <c r="A28" t="s">
        <v>285</v>
      </c>
      <c r="B28" t="s">
        <v>442</v>
      </c>
      <c r="C28" s="82">
        <v>70</v>
      </c>
      <c r="D28" t="s">
        <v>320</v>
      </c>
      <c r="E28" t="s">
        <v>426</v>
      </c>
      <c r="F28" t="s">
        <v>347</v>
      </c>
      <c r="G28" t="s">
        <v>435</v>
      </c>
      <c r="H28" t="s">
        <v>436</v>
      </c>
      <c r="I28" t="s">
        <v>437</v>
      </c>
      <c r="J28" t="s">
        <v>438</v>
      </c>
      <c r="K28" t="s">
        <v>424</v>
      </c>
      <c r="L28" t="s">
        <v>439</v>
      </c>
    </row>
    <row r="29" spans="1:12" x14ac:dyDescent="0.25">
      <c r="A29" t="s">
        <v>292</v>
      </c>
      <c r="B29" t="s">
        <v>442</v>
      </c>
      <c r="C29" s="82">
        <v>68</v>
      </c>
      <c r="D29" t="s">
        <v>340</v>
      </c>
      <c r="E29" t="s">
        <v>427</v>
      </c>
      <c r="F29" t="s">
        <v>357</v>
      </c>
      <c r="G29" t="s">
        <v>443</v>
      </c>
      <c r="H29" t="s">
        <v>444</v>
      </c>
      <c r="I29" t="s">
        <v>445</v>
      </c>
      <c r="J29" t="s">
        <v>446</v>
      </c>
      <c r="K29" t="s">
        <v>447</v>
      </c>
      <c r="L29" t="s">
        <v>448</v>
      </c>
    </row>
    <row r="30" spans="1:12" x14ac:dyDescent="0.25">
      <c r="A30" t="s">
        <v>261</v>
      </c>
      <c r="B30" t="s">
        <v>442</v>
      </c>
      <c r="C30" s="82">
        <v>68</v>
      </c>
      <c r="D30" t="s">
        <v>340</v>
      </c>
      <c r="E30" t="s">
        <v>427</v>
      </c>
      <c r="F30" t="s">
        <v>328</v>
      </c>
      <c r="G30" t="s">
        <v>443</v>
      </c>
      <c r="H30" t="s">
        <v>444</v>
      </c>
      <c r="I30" t="s">
        <v>445</v>
      </c>
      <c r="J30" t="s">
        <v>446</v>
      </c>
      <c r="K30" t="s">
        <v>447</v>
      </c>
      <c r="L30" t="s">
        <v>448</v>
      </c>
    </row>
    <row r="31" spans="1:12" x14ac:dyDescent="0.25">
      <c r="A31" t="s">
        <v>260</v>
      </c>
      <c r="B31" t="s">
        <v>442</v>
      </c>
      <c r="C31" s="82">
        <v>67</v>
      </c>
      <c r="D31" t="s">
        <v>340</v>
      </c>
      <c r="E31" t="s">
        <v>427</v>
      </c>
      <c r="F31" t="s">
        <v>357</v>
      </c>
      <c r="G31" t="s">
        <v>443</v>
      </c>
      <c r="H31" t="s">
        <v>444</v>
      </c>
      <c r="I31" t="s">
        <v>445</v>
      </c>
      <c r="J31" t="s">
        <v>446</v>
      </c>
      <c r="K31" t="s">
        <v>447</v>
      </c>
      <c r="L31" t="s">
        <v>448</v>
      </c>
    </row>
    <row r="32" spans="1:12" x14ac:dyDescent="0.25">
      <c r="A32" t="s">
        <v>259</v>
      </c>
      <c r="B32" t="s">
        <v>442</v>
      </c>
      <c r="C32" s="82">
        <v>66</v>
      </c>
      <c r="D32" t="s">
        <v>340</v>
      </c>
      <c r="E32" t="s">
        <v>427</v>
      </c>
      <c r="F32" t="s">
        <v>357</v>
      </c>
      <c r="G32" t="s">
        <v>443</v>
      </c>
      <c r="H32" t="s">
        <v>444</v>
      </c>
      <c r="I32" t="s">
        <v>445</v>
      </c>
      <c r="J32" t="s">
        <v>446</v>
      </c>
      <c r="K32" t="s">
        <v>447</v>
      </c>
      <c r="L32" t="s">
        <v>448</v>
      </c>
    </row>
    <row r="33" spans="1:12" x14ac:dyDescent="0.25">
      <c r="A33" t="s">
        <v>275</v>
      </c>
      <c r="B33" t="s">
        <v>442</v>
      </c>
      <c r="C33" s="82">
        <v>66</v>
      </c>
      <c r="D33" t="s">
        <v>340</v>
      </c>
      <c r="E33" t="s">
        <v>427</v>
      </c>
      <c r="F33" t="s">
        <v>322</v>
      </c>
      <c r="G33" t="s">
        <v>443</v>
      </c>
      <c r="H33" t="s">
        <v>444</v>
      </c>
      <c r="I33" t="s">
        <v>445</v>
      </c>
      <c r="J33" t="s">
        <v>446</v>
      </c>
      <c r="K33" t="s">
        <v>447</v>
      </c>
      <c r="L33" t="s">
        <v>448</v>
      </c>
    </row>
    <row r="34" spans="1:12" x14ac:dyDescent="0.25">
      <c r="A34" t="s">
        <v>270</v>
      </c>
      <c r="B34" t="s">
        <v>442</v>
      </c>
      <c r="C34" s="82">
        <v>65</v>
      </c>
      <c r="D34" t="s">
        <v>340</v>
      </c>
      <c r="E34" t="s">
        <v>426</v>
      </c>
      <c r="F34" t="s">
        <v>322</v>
      </c>
      <c r="G34" t="s">
        <v>443</v>
      </c>
      <c r="H34" t="s">
        <v>444</v>
      </c>
      <c r="I34" t="s">
        <v>445</v>
      </c>
      <c r="J34" t="s">
        <v>446</v>
      </c>
      <c r="K34" t="s">
        <v>447</v>
      </c>
      <c r="L34" t="s">
        <v>448</v>
      </c>
    </row>
    <row r="35" spans="1:12" x14ac:dyDescent="0.25">
      <c r="A35" t="s">
        <v>245</v>
      </c>
      <c r="B35" t="s">
        <v>442</v>
      </c>
      <c r="C35" s="82">
        <v>64</v>
      </c>
      <c r="D35" t="s">
        <v>340</v>
      </c>
      <c r="E35" t="s">
        <v>426</v>
      </c>
      <c r="F35" t="s">
        <v>322</v>
      </c>
      <c r="G35" t="s">
        <v>443</v>
      </c>
      <c r="H35" t="s">
        <v>444</v>
      </c>
      <c r="I35" t="s">
        <v>445</v>
      </c>
      <c r="J35" t="s">
        <v>446</v>
      </c>
      <c r="K35" t="s">
        <v>447</v>
      </c>
      <c r="L35" t="s">
        <v>448</v>
      </c>
    </row>
    <row r="36" spans="1:12" x14ac:dyDescent="0.25">
      <c r="A36" t="s">
        <v>15</v>
      </c>
      <c r="B36" t="s">
        <v>351</v>
      </c>
      <c r="C36" s="82">
        <v>64</v>
      </c>
      <c r="D36" t="s">
        <v>340</v>
      </c>
      <c r="E36" t="s">
        <v>427</v>
      </c>
      <c r="F36" t="s">
        <v>328</v>
      </c>
      <c r="G36" t="s">
        <v>443</v>
      </c>
      <c r="H36" t="s">
        <v>444</v>
      </c>
      <c r="I36" t="s">
        <v>445</v>
      </c>
      <c r="J36" t="s">
        <v>446</v>
      </c>
      <c r="K36" t="s">
        <v>447</v>
      </c>
      <c r="L36" t="s">
        <v>448</v>
      </c>
    </row>
    <row r="37" spans="1:12" x14ac:dyDescent="0.25">
      <c r="A37" t="s">
        <v>45</v>
      </c>
      <c r="B37" t="s">
        <v>332</v>
      </c>
      <c r="C37" s="82">
        <v>63</v>
      </c>
      <c r="D37" t="s">
        <v>340</v>
      </c>
      <c r="E37" t="s">
        <v>426</v>
      </c>
      <c r="F37" t="s">
        <v>347</v>
      </c>
      <c r="G37" t="s">
        <v>443</v>
      </c>
      <c r="H37" t="s">
        <v>444</v>
      </c>
      <c r="I37" t="s">
        <v>445</v>
      </c>
      <c r="J37" t="s">
        <v>446</v>
      </c>
      <c r="K37" t="s">
        <v>447</v>
      </c>
      <c r="L37" t="s">
        <v>448</v>
      </c>
    </row>
    <row r="38" spans="1:12" x14ac:dyDescent="0.25">
      <c r="A38" t="s">
        <v>219</v>
      </c>
      <c r="B38" t="s">
        <v>449</v>
      </c>
      <c r="C38" s="82">
        <v>63</v>
      </c>
      <c r="D38" t="s">
        <v>340</v>
      </c>
      <c r="E38" t="s">
        <v>426</v>
      </c>
      <c r="F38" t="s">
        <v>322</v>
      </c>
      <c r="G38" t="s">
        <v>443</v>
      </c>
      <c r="H38" t="s">
        <v>444</v>
      </c>
      <c r="I38" t="s">
        <v>445</v>
      </c>
      <c r="J38" t="s">
        <v>446</v>
      </c>
      <c r="K38" t="s">
        <v>447</v>
      </c>
      <c r="L38" t="s">
        <v>448</v>
      </c>
    </row>
    <row r="39" spans="1:12" x14ac:dyDescent="0.25">
      <c r="A39" t="s">
        <v>291</v>
      </c>
      <c r="B39" t="s">
        <v>450</v>
      </c>
      <c r="C39" s="82">
        <v>62</v>
      </c>
      <c r="D39" t="s">
        <v>340</v>
      </c>
      <c r="E39" t="s">
        <v>426</v>
      </c>
      <c r="F39" t="s">
        <v>322</v>
      </c>
      <c r="G39" t="s">
        <v>443</v>
      </c>
      <c r="H39" t="s">
        <v>444</v>
      </c>
      <c r="I39" t="s">
        <v>445</v>
      </c>
      <c r="J39" t="s">
        <v>446</v>
      </c>
      <c r="K39" t="s">
        <v>447</v>
      </c>
      <c r="L39" t="s">
        <v>448</v>
      </c>
    </row>
    <row r="40" spans="1:12" x14ac:dyDescent="0.25">
      <c r="A40" t="s">
        <v>246</v>
      </c>
      <c r="B40" t="s">
        <v>442</v>
      </c>
      <c r="C40" s="82">
        <v>62</v>
      </c>
      <c r="D40" t="s">
        <v>340</v>
      </c>
      <c r="E40" t="s">
        <v>426</v>
      </c>
      <c r="F40" t="s">
        <v>322</v>
      </c>
      <c r="G40" t="s">
        <v>443</v>
      </c>
      <c r="H40" t="s">
        <v>444</v>
      </c>
      <c r="I40" t="s">
        <v>445</v>
      </c>
      <c r="J40" t="s">
        <v>446</v>
      </c>
      <c r="K40" t="s">
        <v>447</v>
      </c>
      <c r="L40" t="s">
        <v>448</v>
      </c>
    </row>
    <row r="41" spans="1:12" x14ac:dyDescent="0.25">
      <c r="A41" t="s">
        <v>247</v>
      </c>
      <c r="B41" t="s">
        <v>451</v>
      </c>
      <c r="C41" s="82">
        <v>62</v>
      </c>
      <c r="D41" t="s">
        <v>340</v>
      </c>
      <c r="E41" t="s">
        <v>426</v>
      </c>
      <c r="F41" t="s">
        <v>322</v>
      </c>
      <c r="G41" t="s">
        <v>443</v>
      </c>
      <c r="H41" t="s">
        <v>444</v>
      </c>
      <c r="I41" t="s">
        <v>445</v>
      </c>
      <c r="J41" t="s">
        <v>446</v>
      </c>
      <c r="K41" t="s">
        <v>447</v>
      </c>
      <c r="L41" t="s">
        <v>448</v>
      </c>
    </row>
    <row r="42" spans="1:12" x14ac:dyDescent="0.25">
      <c r="A42" t="s">
        <v>38</v>
      </c>
      <c r="B42" t="s">
        <v>332</v>
      </c>
      <c r="C42" s="82">
        <v>61</v>
      </c>
      <c r="D42" t="s">
        <v>340</v>
      </c>
      <c r="E42" t="s">
        <v>426</v>
      </c>
      <c r="F42" t="s">
        <v>322</v>
      </c>
      <c r="G42" t="s">
        <v>443</v>
      </c>
      <c r="H42" t="s">
        <v>444</v>
      </c>
      <c r="I42" t="s">
        <v>445</v>
      </c>
      <c r="J42" t="s">
        <v>446</v>
      </c>
      <c r="K42" t="s">
        <v>447</v>
      </c>
      <c r="L42" t="s">
        <v>448</v>
      </c>
    </row>
    <row r="43" spans="1:12" x14ac:dyDescent="0.25">
      <c r="A43" t="s">
        <v>249</v>
      </c>
      <c r="B43" t="s">
        <v>442</v>
      </c>
      <c r="C43" s="82">
        <v>61</v>
      </c>
      <c r="D43" t="s">
        <v>340</v>
      </c>
      <c r="E43" t="s">
        <v>426</v>
      </c>
      <c r="F43" t="s">
        <v>322</v>
      </c>
      <c r="G43" t="s">
        <v>443</v>
      </c>
      <c r="H43" t="s">
        <v>444</v>
      </c>
      <c r="I43" t="s">
        <v>445</v>
      </c>
      <c r="J43" t="s">
        <v>446</v>
      </c>
      <c r="K43" t="s">
        <v>447</v>
      </c>
      <c r="L43" t="s">
        <v>448</v>
      </c>
    </row>
    <row r="44" spans="1:12" x14ac:dyDescent="0.25">
      <c r="A44" t="s">
        <v>298</v>
      </c>
      <c r="B44" t="s">
        <v>441</v>
      </c>
      <c r="C44" s="82">
        <v>60</v>
      </c>
      <c r="D44" t="s">
        <v>340</v>
      </c>
      <c r="E44" t="s">
        <v>426</v>
      </c>
      <c r="F44" t="s">
        <v>322</v>
      </c>
      <c r="G44" t="s">
        <v>443</v>
      </c>
      <c r="H44" t="s">
        <v>444</v>
      </c>
      <c r="I44" t="s">
        <v>445</v>
      </c>
      <c r="J44" t="s">
        <v>446</v>
      </c>
      <c r="K44" t="s">
        <v>447</v>
      </c>
      <c r="L44" t="s">
        <v>448</v>
      </c>
    </row>
    <row r="45" spans="1:12" x14ac:dyDescent="0.25">
      <c r="A45" t="s">
        <v>452</v>
      </c>
      <c r="B45" t="s">
        <v>332</v>
      </c>
      <c r="C45" s="82">
        <v>58</v>
      </c>
      <c r="D45" t="s">
        <v>340</v>
      </c>
      <c r="E45" t="s">
        <v>453</v>
      </c>
      <c r="F45" t="s">
        <v>322</v>
      </c>
      <c r="G45" t="s">
        <v>443</v>
      </c>
      <c r="H45" t="s">
        <v>444</v>
      </c>
      <c r="I45" t="s">
        <v>445</v>
      </c>
      <c r="J45" t="s">
        <v>446</v>
      </c>
      <c r="K45" t="s">
        <v>447</v>
      </c>
      <c r="L45" t="s">
        <v>448</v>
      </c>
    </row>
    <row r="46" spans="1:12" x14ac:dyDescent="0.25">
      <c r="A46" t="s">
        <v>280</v>
      </c>
      <c r="B46" t="s">
        <v>442</v>
      </c>
      <c r="C46" s="82">
        <v>58</v>
      </c>
      <c r="D46" t="s">
        <v>340</v>
      </c>
      <c r="E46" t="s">
        <v>453</v>
      </c>
      <c r="F46" t="s">
        <v>347</v>
      </c>
      <c r="G46" t="s">
        <v>443</v>
      </c>
      <c r="H46" t="s">
        <v>444</v>
      </c>
      <c r="I46" t="s">
        <v>445</v>
      </c>
      <c r="J46" t="s">
        <v>446</v>
      </c>
      <c r="K46" t="s">
        <v>447</v>
      </c>
      <c r="L46" t="s">
        <v>448</v>
      </c>
    </row>
    <row r="47" spans="1:12" x14ac:dyDescent="0.25">
      <c r="A47" t="s">
        <v>294</v>
      </c>
      <c r="B47" t="s">
        <v>442</v>
      </c>
      <c r="C47" s="82">
        <v>58</v>
      </c>
      <c r="D47" t="s">
        <v>340</v>
      </c>
      <c r="E47" t="s">
        <v>453</v>
      </c>
      <c r="F47" t="s">
        <v>322</v>
      </c>
      <c r="G47" t="s">
        <v>443</v>
      </c>
      <c r="H47" t="s">
        <v>444</v>
      </c>
      <c r="I47" t="s">
        <v>445</v>
      </c>
      <c r="J47" t="s">
        <v>446</v>
      </c>
      <c r="K47" t="s">
        <v>447</v>
      </c>
      <c r="L47" t="s">
        <v>448</v>
      </c>
    </row>
    <row r="48" spans="1:12" x14ac:dyDescent="0.25">
      <c r="A48" t="s">
        <v>454</v>
      </c>
      <c r="B48" t="s">
        <v>418</v>
      </c>
      <c r="C48" s="82">
        <v>57</v>
      </c>
      <c r="D48" t="s">
        <v>340</v>
      </c>
      <c r="E48" t="s">
        <v>453</v>
      </c>
      <c r="F48" t="s">
        <v>328</v>
      </c>
      <c r="G48" t="s">
        <v>443</v>
      </c>
      <c r="H48" t="s">
        <v>444</v>
      </c>
      <c r="I48" t="s">
        <v>445</v>
      </c>
      <c r="J48" t="s">
        <v>446</v>
      </c>
      <c r="K48" t="s">
        <v>447</v>
      </c>
      <c r="L48" t="s">
        <v>448</v>
      </c>
    </row>
    <row r="49" spans="1:12" x14ac:dyDescent="0.25">
      <c r="A49" t="s">
        <v>288</v>
      </c>
      <c r="B49" t="s">
        <v>442</v>
      </c>
      <c r="C49" s="82">
        <v>57</v>
      </c>
      <c r="D49" t="s">
        <v>340</v>
      </c>
      <c r="E49" t="s">
        <v>453</v>
      </c>
      <c r="F49" t="s">
        <v>322</v>
      </c>
      <c r="G49" t="s">
        <v>443</v>
      </c>
      <c r="H49" t="s">
        <v>444</v>
      </c>
      <c r="I49" t="s">
        <v>445</v>
      </c>
      <c r="J49" t="s">
        <v>446</v>
      </c>
      <c r="K49" t="s">
        <v>447</v>
      </c>
      <c r="L49" t="s">
        <v>448</v>
      </c>
    </row>
    <row r="50" spans="1:12" x14ac:dyDescent="0.25">
      <c r="A50" t="s">
        <v>267</v>
      </c>
      <c r="B50" t="s">
        <v>442</v>
      </c>
      <c r="C50" s="82">
        <v>57</v>
      </c>
      <c r="D50" t="s">
        <v>340</v>
      </c>
      <c r="E50" t="s">
        <v>453</v>
      </c>
      <c r="F50" t="s">
        <v>347</v>
      </c>
      <c r="G50" t="s">
        <v>443</v>
      </c>
      <c r="H50" t="s">
        <v>444</v>
      </c>
      <c r="I50" t="s">
        <v>445</v>
      </c>
      <c r="J50" t="s">
        <v>446</v>
      </c>
      <c r="K50" t="s">
        <v>447</v>
      </c>
      <c r="L50" t="s">
        <v>448</v>
      </c>
    </row>
    <row r="51" spans="1:12" x14ac:dyDescent="0.25">
      <c r="A51" t="s">
        <v>276</v>
      </c>
      <c r="B51" t="s">
        <v>455</v>
      </c>
      <c r="C51" s="82">
        <v>56</v>
      </c>
      <c r="D51" t="s">
        <v>340</v>
      </c>
      <c r="E51" t="s">
        <v>453</v>
      </c>
      <c r="F51" t="s">
        <v>322</v>
      </c>
      <c r="G51" t="s">
        <v>443</v>
      </c>
      <c r="H51" t="s">
        <v>444</v>
      </c>
      <c r="I51" t="s">
        <v>445</v>
      </c>
      <c r="J51" t="s">
        <v>446</v>
      </c>
      <c r="K51" t="s">
        <v>447</v>
      </c>
      <c r="L51" t="s">
        <v>448</v>
      </c>
    </row>
    <row r="52" spans="1:12" x14ac:dyDescent="0.25">
      <c r="A52" t="s">
        <v>265</v>
      </c>
      <c r="B52" t="s">
        <v>441</v>
      </c>
      <c r="C52" s="82">
        <v>55</v>
      </c>
      <c r="D52" t="s">
        <v>340</v>
      </c>
      <c r="E52" t="s">
        <v>453</v>
      </c>
      <c r="F52" t="s">
        <v>322</v>
      </c>
      <c r="G52" t="s">
        <v>443</v>
      </c>
      <c r="H52" t="s">
        <v>444</v>
      </c>
      <c r="I52" t="s">
        <v>445</v>
      </c>
      <c r="J52" t="s">
        <v>446</v>
      </c>
      <c r="K52" t="s">
        <v>447</v>
      </c>
      <c r="L52" t="s">
        <v>448</v>
      </c>
    </row>
    <row r="53" spans="1:12" x14ac:dyDescent="0.25">
      <c r="A53" t="s">
        <v>274</v>
      </c>
      <c r="B53" t="s">
        <v>442</v>
      </c>
      <c r="C53" s="82">
        <v>55</v>
      </c>
      <c r="D53" t="s">
        <v>340</v>
      </c>
      <c r="E53" t="s">
        <v>427</v>
      </c>
      <c r="F53" t="s">
        <v>328</v>
      </c>
      <c r="G53" t="s">
        <v>443</v>
      </c>
      <c r="H53" t="s">
        <v>444</v>
      </c>
      <c r="I53" t="s">
        <v>445</v>
      </c>
      <c r="J53" t="s">
        <v>446</v>
      </c>
      <c r="K53" t="s">
        <v>447</v>
      </c>
      <c r="L53" t="s">
        <v>448</v>
      </c>
    </row>
    <row r="54" spans="1:12" x14ac:dyDescent="0.25">
      <c r="A54" t="s">
        <v>295</v>
      </c>
      <c r="B54" t="s">
        <v>456</v>
      </c>
      <c r="C54" s="82">
        <v>55</v>
      </c>
      <c r="D54" t="s">
        <v>340</v>
      </c>
      <c r="E54" t="s">
        <v>453</v>
      </c>
      <c r="F54" t="s">
        <v>322</v>
      </c>
      <c r="G54" t="s">
        <v>443</v>
      </c>
      <c r="H54" t="s">
        <v>444</v>
      </c>
      <c r="I54" t="s">
        <v>445</v>
      </c>
      <c r="J54" t="s">
        <v>446</v>
      </c>
      <c r="K54" t="s">
        <v>447</v>
      </c>
      <c r="L54" t="s">
        <v>448</v>
      </c>
    </row>
    <row r="55" spans="1:12" x14ac:dyDescent="0.25">
      <c r="A55" t="s">
        <v>457</v>
      </c>
      <c r="B55" t="s">
        <v>418</v>
      </c>
      <c r="C55" s="82">
        <v>55</v>
      </c>
      <c r="D55" t="s">
        <v>340</v>
      </c>
      <c r="E55" t="s">
        <v>453</v>
      </c>
      <c r="F55" t="s">
        <v>322</v>
      </c>
      <c r="G55" t="s">
        <v>443</v>
      </c>
      <c r="H55" t="s">
        <v>444</v>
      </c>
      <c r="I55" t="s">
        <v>445</v>
      </c>
      <c r="J55" t="s">
        <v>446</v>
      </c>
      <c r="K55" t="s">
        <v>447</v>
      </c>
      <c r="L55" t="s">
        <v>448</v>
      </c>
    </row>
    <row r="56" spans="1:12" x14ac:dyDescent="0.25">
      <c r="A56" t="s">
        <v>264</v>
      </c>
      <c r="B56" t="s">
        <v>442</v>
      </c>
      <c r="C56" s="82">
        <v>54</v>
      </c>
      <c r="D56" t="s">
        <v>340</v>
      </c>
      <c r="E56" t="s">
        <v>453</v>
      </c>
      <c r="F56" t="s">
        <v>322</v>
      </c>
      <c r="G56" t="s">
        <v>443</v>
      </c>
      <c r="H56" t="s">
        <v>444</v>
      </c>
      <c r="I56" t="s">
        <v>445</v>
      </c>
      <c r="J56" t="s">
        <v>446</v>
      </c>
      <c r="K56" t="s">
        <v>447</v>
      </c>
      <c r="L56" t="s">
        <v>448</v>
      </c>
    </row>
    <row r="57" spans="1:12" x14ac:dyDescent="0.25">
      <c r="A57" t="s">
        <v>250</v>
      </c>
      <c r="B57" t="s">
        <v>456</v>
      </c>
      <c r="C57" s="82">
        <v>54</v>
      </c>
      <c r="D57" t="s">
        <v>340</v>
      </c>
      <c r="E57" t="s">
        <v>453</v>
      </c>
      <c r="F57" t="s">
        <v>322</v>
      </c>
      <c r="G57" t="s">
        <v>443</v>
      </c>
      <c r="H57" t="s">
        <v>444</v>
      </c>
      <c r="I57" t="s">
        <v>445</v>
      </c>
      <c r="J57" t="s">
        <v>446</v>
      </c>
      <c r="K57" t="s">
        <v>447</v>
      </c>
      <c r="L57" t="s">
        <v>448</v>
      </c>
    </row>
    <row r="58" spans="1:12" x14ac:dyDescent="0.25">
      <c r="A58" t="s">
        <v>257</v>
      </c>
      <c r="B58" t="s">
        <v>450</v>
      </c>
      <c r="C58" s="82">
        <v>50</v>
      </c>
      <c r="D58" t="s">
        <v>409</v>
      </c>
      <c r="E58" t="s">
        <v>410</v>
      </c>
      <c r="F58" t="s">
        <v>347</v>
      </c>
      <c r="G58" t="s">
        <v>458</v>
      </c>
      <c r="H58" t="s">
        <v>410</v>
      </c>
      <c r="I58" t="s">
        <v>410</v>
      </c>
      <c r="J58" t="s">
        <v>410</v>
      </c>
      <c r="K58" t="s">
        <v>459</v>
      </c>
      <c r="L58" t="s">
        <v>417</v>
      </c>
    </row>
    <row r="59" spans="1:12" x14ac:dyDescent="0.25">
      <c r="A59" t="s">
        <v>258</v>
      </c>
      <c r="B59" t="s">
        <v>450</v>
      </c>
      <c r="C59" s="82">
        <v>50</v>
      </c>
      <c r="D59" t="s">
        <v>409</v>
      </c>
      <c r="E59" t="s">
        <v>410</v>
      </c>
      <c r="F59" t="s">
        <v>347</v>
      </c>
      <c r="G59" t="s">
        <v>458</v>
      </c>
      <c r="H59" t="s">
        <v>410</v>
      </c>
      <c r="I59" t="s">
        <v>410</v>
      </c>
      <c r="J59" t="s">
        <v>410</v>
      </c>
      <c r="K59" t="s">
        <v>459</v>
      </c>
      <c r="L59" t="s">
        <v>417</v>
      </c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903C-B5A0-46D5-BB2D-C1E41D687355}">
  <dimension ref="A1:L68"/>
  <sheetViews>
    <sheetView workbookViewId="0">
      <pane ySplit="1" topLeftCell="A38" activePane="bottomLeft" state="frozen"/>
      <selection activeCell="B117" sqref="B117:C117"/>
      <selection pane="bottomLeft" activeCell="B117" sqref="B117:C117"/>
    </sheetView>
  </sheetViews>
  <sheetFormatPr baseColWidth="10" defaultColWidth="9" defaultRowHeight="15" x14ac:dyDescent="0.25"/>
  <cols>
    <col min="1" max="1" width="14.5703125" bestFit="1" customWidth="1"/>
    <col min="2" max="2" width="6.28515625" bestFit="1" customWidth="1"/>
    <col min="3" max="3" width="13.42578125" bestFit="1" customWidth="1"/>
    <col min="4" max="4" width="19.28515625" style="82" bestFit="1" customWidth="1"/>
    <col min="5" max="5" width="24.42578125" bestFit="1" customWidth="1"/>
    <col min="6" max="6" width="12.85546875" bestFit="1" customWidth="1"/>
    <col min="7" max="7" width="18.7109375" bestFit="1" customWidth="1"/>
    <col min="8" max="8" width="34" bestFit="1" customWidth="1"/>
    <col min="9" max="9" width="13" bestFit="1" customWidth="1"/>
    <col min="10" max="10" width="10.85546875" bestFit="1" customWidth="1"/>
    <col min="11" max="11" width="11.140625" bestFit="1" customWidth="1"/>
    <col min="12" max="12" width="27.85546875" bestFit="1" customWidth="1"/>
  </cols>
  <sheetData>
    <row r="1" spans="1:9" x14ac:dyDescent="0.25">
      <c r="A1" s="232" t="s">
        <v>460</v>
      </c>
      <c r="B1" s="232" t="s">
        <v>148</v>
      </c>
      <c r="C1" s="232" t="s">
        <v>461</v>
      </c>
      <c r="D1" s="233" t="s">
        <v>462</v>
      </c>
      <c r="E1" s="232" t="s">
        <v>463</v>
      </c>
      <c r="F1" s="232" t="s">
        <v>464</v>
      </c>
      <c r="G1" s="232" t="s">
        <v>465</v>
      </c>
      <c r="H1" s="232" t="s">
        <v>433</v>
      </c>
    </row>
    <row r="2" spans="1:9" x14ac:dyDescent="0.25">
      <c r="A2">
        <v>1</v>
      </c>
      <c r="B2" t="s">
        <v>67</v>
      </c>
      <c r="C2" t="s">
        <v>466</v>
      </c>
      <c r="D2" s="82">
        <v>90</v>
      </c>
      <c r="E2" t="s">
        <v>467</v>
      </c>
      <c r="F2" t="s">
        <v>468</v>
      </c>
      <c r="G2" t="s">
        <v>469</v>
      </c>
      <c r="H2" t="s">
        <v>470</v>
      </c>
      <c r="I2" t="s">
        <v>471</v>
      </c>
    </row>
    <row r="3" spans="1:9" x14ac:dyDescent="0.25">
      <c r="A3">
        <v>2</v>
      </c>
      <c r="B3" t="s">
        <v>41</v>
      </c>
      <c r="C3" t="s">
        <v>472</v>
      </c>
      <c r="D3" s="82">
        <v>86</v>
      </c>
      <c r="E3" t="s">
        <v>473</v>
      </c>
      <c r="F3" t="s">
        <v>474</v>
      </c>
      <c r="G3" t="s">
        <v>475</v>
      </c>
      <c r="H3" t="s">
        <v>476</v>
      </c>
      <c r="I3" t="s">
        <v>60</v>
      </c>
    </row>
    <row r="4" spans="1:9" x14ac:dyDescent="0.25">
      <c r="A4">
        <v>3</v>
      </c>
      <c r="B4" t="s">
        <v>71</v>
      </c>
      <c r="C4" t="s">
        <v>477</v>
      </c>
      <c r="D4" s="82">
        <v>84</v>
      </c>
      <c r="E4" t="s">
        <v>478</v>
      </c>
      <c r="F4" t="s">
        <v>479</v>
      </c>
      <c r="G4" t="s">
        <v>480</v>
      </c>
      <c r="H4" t="s">
        <v>481</v>
      </c>
    </row>
    <row r="5" spans="1:9" x14ac:dyDescent="0.25">
      <c r="A5">
        <v>4</v>
      </c>
      <c r="B5" t="s">
        <v>19</v>
      </c>
      <c r="C5" t="s">
        <v>482</v>
      </c>
      <c r="D5" s="82">
        <v>82</v>
      </c>
      <c r="E5" t="s">
        <v>483</v>
      </c>
      <c r="F5" t="s">
        <v>484</v>
      </c>
      <c r="G5" t="s">
        <v>485</v>
      </c>
      <c r="H5" t="s">
        <v>486</v>
      </c>
    </row>
    <row r="6" spans="1:9" x14ac:dyDescent="0.25">
      <c r="A6">
        <v>5</v>
      </c>
      <c r="B6" t="s">
        <v>68</v>
      </c>
      <c r="C6" t="s">
        <v>487</v>
      </c>
      <c r="D6" s="82">
        <v>81</v>
      </c>
      <c r="E6" t="s">
        <v>488</v>
      </c>
      <c r="F6" t="s">
        <v>489</v>
      </c>
      <c r="G6" t="s">
        <v>490</v>
      </c>
      <c r="H6" t="s">
        <v>491</v>
      </c>
      <c r="I6" t="s">
        <v>471</v>
      </c>
    </row>
    <row r="7" spans="1:9" x14ac:dyDescent="0.25">
      <c r="A7">
        <v>6</v>
      </c>
      <c r="B7" t="s">
        <v>39</v>
      </c>
      <c r="C7" t="s">
        <v>492</v>
      </c>
      <c r="D7" s="82">
        <v>78</v>
      </c>
      <c r="E7" t="s">
        <v>493</v>
      </c>
      <c r="F7" t="s">
        <v>494</v>
      </c>
      <c r="G7" t="s">
        <v>495</v>
      </c>
      <c r="H7" t="s">
        <v>496</v>
      </c>
    </row>
    <row r="8" spans="1:9" x14ac:dyDescent="0.25">
      <c r="A8">
        <v>7</v>
      </c>
      <c r="B8" t="s">
        <v>82</v>
      </c>
      <c r="C8" t="s">
        <v>497</v>
      </c>
      <c r="D8" s="82">
        <v>74</v>
      </c>
      <c r="E8" t="s">
        <v>498</v>
      </c>
      <c r="F8" t="s">
        <v>499</v>
      </c>
      <c r="G8" t="s">
        <v>500</v>
      </c>
      <c r="H8" t="s">
        <v>501</v>
      </c>
    </row>
    <row r="9" spans="1:9" x14ac:dyDescent="0.25">
      <c r="A9">
        <v>8</v>
      </c>
      <c r="B9" t="s">
        <v>22</v>
      </c>
      <c r="C9" t="s">
        <v>502</v>
      </c>
      <c r="D9" s="82">
        <v>70</v>
      </c>
      <c r="E9" t="s">
        <v>503</v>
      </c>
      <c r="F9" t="s">
        <v>504</v>
      </c>
      <c r="G9" t="s">
        <v>505</v>
      </c>
      <c r="H9" t="s">
        <v>506</v>
      </c>
    </row>
    <row r="10" spans="1:9" x14ac:dyDescent="0.25">
      <c r="A10">
        <v>9</v>
      </c>
      <c r="B10" t="s">
        <v>86</v>
      </c>
      <c r="C10" t="s">
        <v>507</v>
      </c>
      <c r="D10" s="82">
        <v>67</v>
      </c>
      <c r="E10" t="s">
        <v>508</v>
      </c>
      <c r="F10" t="s">
        <v>509</v>
      </c>
      <c r="G10" t="s">
        <v>510</v>
      </c>
      <c r="H10" t="s">
        <v>511</v>
      </c>
    </row>
    <row r="11" spans="1:9" x14ac:dyDescent="0.25">
      <c r="A11">
        <v>10</v>
      </c>
      <c r="B11" t="s">
        <v>27</v>
      </c>
      <c r="C11" t="s">
        <v>512</v>
      </c>
      <c r="D11" s="82">
        <v>64</v>
      </c>
      <c r="E11" t="s">
        <v>513</v>
      </c>
      <c r="F11" t="s">
        <v>514</v>
      </c>
      <c r="G11" t="s">
        <v>515</v>
      </c>
      <c r="H11" t="s">
        <v>516</v>
      </c>
    </row>
    <row r="12" spans="1:9" x14ac:dyDescent="0.25">
      <c r="A12">
        <v>11</v>
      </c>
      <c r="B12" t="s">
        <v>36</v>
      </c>
      <c r="C12" t="s">
        <v>517</v>
      </c>
      <c r="D12" s="82">
        <v>60</v>
      </c>
      <c r="H12" t="s">
        <v>518</v>
      </c>
    </row>
    <row r="13" spans="1:9" x14ac:dyDescent="0.25">
      <c r="A13">
        <v>12</v>
      </c>
      <c r="B13" t="s">
        <v>84</v>
      </c>
      <c r="C13" t="s">
        <v>519</v>
      </c>
      <c r="D13" s="82">
        <v>55</v>
      </c>
      <c r="H13" t="s">
        <v>520</v>
      </c>
    </row>
    <row r="15" spans="1:9" x14ac:dyDescent="0.25">
      <c r="A15">
        <v>1</v>
      </c>
      <c r="B15" t="s">
        <v>67</v>
      </c>
      <c r="C15" t="s">
        <v>466</v>
      </c>
      <c r="D15">
        <v>90</v>
      </c>
      <c r="E15" t="s">
        <v>467</v>
      </c>
      <c r="F15" t="s">
        <v>468</v>
      </c>
      <c r="G15" t="s">
        <v>469</v>
      </c>
      <c r="H15" t="s">
        <v>521</v>
      </c>
    </row>
    <row r="16" spans="1:9" x14ac:dyDescent="0.25">
      <c r="A16">
        <v>2</v>
      </c>
      <c r="B16" t="s">
        <v>41</v>
      </c>
      <c r="C16" t="s">
        <v>472</v>
      </c>
      <c r="D16">
        <v>86</v>
      </c>
      <c r="E16" t="s">
        <v>473</v>
      </c>
      <c r="F16" t="s">
        <v>474</v>
      </c>
      <c r="G16" t="s">
        <v>475</v>
      </c>
      <c r="H16" t="s">
        <v>522</v>
      </c>
    </row>
    <row r="17" spans="1:8" x14ac:dyDescent="0.25">
      <c r="A17">
        <v>3</v>
      </c>
      <c r="B17" t="s">
        <v>71</v>
      </c>
      <c r="C17" t="s">
        <v>477</v>
      </c>
      <c r="D17">
        <v>84</v>
      </c>
      <c r="E17" t="s">
        <v>478</v>
      </c>
      <c r="F17" t="s">
        <v>479</v>
      </c>
      <c r="G17" t="s">
        <v>480</v>
      </c>
      <c r="H17" t="s">
        <v>481</v>
      </c>
    </row>
    <row r="18" spans="1:8" x14ac:dyDescent="0.25">
      <c r="A18">
        <v>4</v>
      </c>
      <c r="B18" t="s">
        <v>19</v>
      </c>
      <c r="C18" t="s">
        <v>482</v>
      </c>
      <c r="D18">
        <v>82</v>
      </c>
      <c r="E18" t="s">
        <v>483</v>
      </c>
      <c r="F18" t="s">
        <v>484</v>
      </c>
      <c r="G18" t="s">
        <v>485</v>
      </c>
      <c r="H18" t="s">
        <v>486</v>
      </c>
    </row>
    <row r="19" spans="1:8" x14ac:dyDescent="0.25">
      <c r="A19">
        <v>5</v>
      </c>
      <c r="B19" t="s">
        <v>68</v>
      </c>
      <c r="C19" t="s">
        <v>487</v>
      </c>
      <c r="D19">
        <v>81</v>
      </c>
      <c r="E19" t="s">
        <v>488</v>
      </c>
      <c r="F19" t="s">
        <v>489</v>
      </c>
      <c r="G19" t="s">
        <v>490</v>
      </c>
      <c r="H19" t="s">
        <v>491</v>
      </c>
    </row>
    <row r="20" spans="1:8" x14ac:dyDescent="0.25">
      <c r="A20">
        <v>6</v>
      </c>
      <c r="B20" t="s">
        <v>39</v>
      </c>
      <c r="C20" t="s">
        <v>492</v>
      </c>
      <c r="D20">
        <v>78</v>
      </c>
      <c r="E20" t="s">
        <v>493</v>
      </c>
      <c r="F20" t="s">
        <v>494</v>
      </c>
      <c r="G20" t="s">
        <v>495</v>
      </c>
      <c r="H20" t="s">
        <v>523</v>
      </c>
    </row>
    <row r="21" spans="1:8" x14ac:dyDescent="0.25">
      <c r="A21">
        <v>7</v>
      </c>
      <c r="B21" t="s">
        <v>82</v>
      </c>
      <c r="C21" t="s">
        <v>497</v>
      </c>
      <c r="D21">
        <v>74</v>
      </c>
      <c r="E21" t="s">
        <v>498</v>
      </c>
      <c r="F21" t="s">
        <v>499</v>
      </c>
      <c r="G21" t="s">
        <v>500</v>
      </c>
      <c r="H21" t="s">
        <v>524</v>
      </c>
    </row>
    <row r="22" spans="1:8" x14ac:dyDescent="0.25">
      <c r="A22">
        <v>8</v>
      </c>
      <c r="B22" t="s">
        <v>22</v>
      </c>
      <c r="C22" t="s">
        <v>502</v>
      </c>
      <c r="D22">
        <v>70</v>
      </c>
      <c r="E22" t="s">
        <v>503</v>
      </c>
      <c r="F22" t="s">
        <v>504</v>
      </c>
      <c r="G22" t="s">
        <v>505</v>
      </c>
      <c r="H22" t="s">
        <v>525</v>
      </c>
    </row>
    <row r="23" spans="1:8" x14ac:dyDescent="0.25">
      <c r="A23">
        <v>9</v>
      </c>
      <c r="B23" t="s">
        <v>86</v>
      </c>
      <c r="C23" t="s">
        <v>507</v>
      </c>
      <c r="D23">
        <v>67</v>
      </c>
      <c r="E23" t="s">
        <v>508</v>
      </c>
      <c r="F23" t="s">
        <v>509</v>
      </c>
      <c r="G23" t="s">
        <v>510</v>
      </c>
      <c r="H23" t="s">
        <v>526</v>
      </c>
    </row>
    <row r="24" spans="1:8" x14ac:dyDescent="0.25">
      <c r="A24">
        <v>10</v>
      </c>
      <c r="B24" t="s">
        <v>27</v>
      </c>
      <c r="C24" t="s">
        <v>512</v>
      </c>
      <c r="D24">
        <v>64</v>
      </c>
      <c r="E24" t="s">
        <v>513</v>
      </c>
      <c r="F24" t="s">
        <v>514</v>
      </c>
      <c r="G24" t="s">
        <v>515</v>
      </c>
      <c r="H24" t="s">
        <v>527</v>
      </c>
    </row>
    <row r="25" spans="1:8" x14ac:dyDescent="0.25">
      <c r="A25">
        <v>11</v>
      </c>
      <c r="B25" t="s">
        <v>36</v>
      </c>
      <c r="C25" t="s">
        <v>517</v>
      </c>
      <c r="D25">
        <v>60</v>
      </c>
      <c r="H25" t="s">
        <v>528</v>
      </c>
    </row>
    <row r="26" spans="1:8" x14ac:dyDescent="0.25">
      <c r="A26">
        <v>12</v>
      </c>
      <c r="B26" t="s">
        <v>84</v>
      </c>
      <c r="C26" t="s">
        <v>519</v>
      </c>
      <c r="D26">
        <v>55</v>
      </c>
      <c r="H26" t="s">
        <v>529</v>
      </c>
    </row>
    <row r="28" spans="1:8" x14ac:dyDescent="0.25">
      <c r="A28">
        <v>1</v>
      </c>
      <c r="B28" t="s">
        <v>67</v>
      </c>
      <c r="C28" t="s">
        <v>466</v>
      </c>
      <c r="D28">
        <v>90</v>
      </c>
      <c r="E28" t="s">
        <v>467</v>
      </c>
      <c r="F28" t="s">
        <v>468</v>
      </c>
      <c r="G28" t="s">
        <v>469</v>
      </c>
      <c r="H28" t="s">
        <v>521</v>
      </c>
    </row>
    <row r="29" spans="1:8" x14ac:dyDescent="0.25">
      <c r="A29">
        <v>2</v>
      </c>
      <c r="B29" t="s">
        <v>41</v>
      </c>
      <c r="C29" t="s">
        <v>472</v>
      </c>
      <c r="D29">
        <v>86</v>
      </c>
      <c r="E29" t="s">
        <v>473</v>
      </c>
      <c r="F29" t="s">
        <v>474</v>
      </c>
      <c r="G29" t="s">
        <v>475</v>
      </c>
      <c r="H29" t="s">
        <v>522</v>
      </c>
    </row>
    <row r="30" spans="1:8" x14ac:dyDescent="0.25">
      <c r="A30">
        <v>3</v>
      </c>
      <c r="B30" t="s">
        <v>71</v>
      </c>
      <c r="C30" t="s">
        <v>477</v>
      </c>
      <c r="D30">
        <v>84</v>
      </c>
      <c r="E30" t="s">
        <v>478</v>
      </c>
      <c r="F30" t="s">
        <v>479</v>
      </c>
      <c r="G30" t="s">
        <v>480</v>
      </c>
      <c r="H30" t="s">
        <v>481</v>
      </c>
    </row>
    <row r="31" spans="1:8" x14ac:dyDescent="0.25">
      <c r="A31">
        <v>4</v>
      </c>
      <c r="B31" t="s">
        <v>19</v>
      </c>
      <c r="C31" t="s">
        <v>482</v>
      </c>
      <c r="D31">
        <v>82</v>
      </c>
      <c r="E31" t="s">
        <v>483</v>
      </c>
      <c r="F31" t="s">
        <v>484</v>
      </c>
      <c r="G31" t="s">
        <v>485</v>
      </c>
      <c r="H31" t="s">
        <v>486</v>
      </c>
    </row>
    <row r="32" spans="1:8" x14ac:dyDescent="0.25">
      <c r="A32">
        <v>5</v>
      </c>
      <c r="B32" t="s">
        <v>68</v>
      </c>
      <c r="C32" t="s">
        <v>487</v>
      </c>
      <c r="D32">
        <v>81</v>
      </c>
      <c r="E32" t="s">
        <v>488</v>
      </c>
      <c r="F32" t="s">
        <v>489</v>
      </c>
      <c r="G32" t="s">
        <v>490</v>
      </c>
      <c r="H32" t="s">
        <v>491</v>
      </c>
    </row>
    <row r="33" spans="1:12" x14ac:dyDescent="0.25">
      <c r="A33">
        <v>6</v>
      </c>
      <c r="B33" t="s">
        <v>39</v>
      </c>
      <c r="C33" t="s">
        <v>492</v>
      </c>
      <c r="D33">
        <v>78</v>
      </c>
      <c r="E33" t="s">
        <v>493</v>
      </c>
      <c r="F33" t="s">
        <v>494</v>
      </c>
      <c r="G33" t="s">
        <v>495</v>
      </c>
      <c r="H33" t="s">
        <v>523</v>
      </c>
    </row>
    <row r="34" spans="1:12" x14ac:dyDescent="0.25">
      <c r="A34">
        <v>7</v>
      </c>
      <c r="B34" t="s">
        <v>82</v>
      </c>
      <c r="C34" t="s">
        <v>497</v>
      </c>
      <c r="D34">
        <v>74</v>
      </c>
      <c r="E34" t="s">
        <v>498</v>
      </c>
      <c r="F34" t="s">
        <v>499</v>
      </c>
      <c r="G34" t="s">
        <v>500</v>
      </c>
      <c r="H34" t="s">
        <v>524</v>
      </c>
    </row>
    <row r="35" spans="1:12" x14ac:dyDescent="0.25">
      <c r="A35">
        <v>8</v>
      </c>
      <c r="B35" t="s">
        <v>22</v>
      </c>
      <c r="C35" t="s">
        <v>502</v>
      </c>
      <c r="D35">
        <v>70</v>
      </c>
      <c r="E35" t="s">
        <v>503</v>
      </c>
      <c r="F35" t="s">
        <v>504</v>
      </c>
      <c r="G35" t="s">
        <v>505</v>
      </c>
      <c r="H35" t="s">
        <v>525</v>
      </c>
    </row>
    <row r="36" spans="1:12" x14ac:dyDescent="0.25">
      <c r="A36">
        <v>9</v>
      </c>
      <c r="B36" t="s">
        <v>86</v>
      </c>
      <c r="C36" t="s">
        <v>507</v>
      </c>
      <c r="D36">
        <v>67</v>
      </c>
      <c r="E36" t="s">
        <v>508</v>
      </c>
      <c r="F36" t="s">
        <v>509</v>
      </c>
      <c r="G36" t="s">
        <v>510</v>
      </c>
      <c r="H36" t="s">
        <v>526</v>
      </c>
    </row>
    <row r="37" spans="1:12" x14ac:dyDescent="0.25">
      <c r="A37">
        <v>10</v>
      </c>
      <c r="B37" t="s">
        <v>27</v>
      </c>
      <c r="C37" t="s">
        <v>512</v>
      </c>
      <c r="D37">
        <v>64</v>
      </c>
      <c r="E37" t="s">
        <v>513</v>
      </c>
      <c r="F37" t="s">
        <v>514</v>
      </c>
      <c r="G37" t="s">
        <v>515</v>
      </c>
      <c r="H37" t="s">
        <v>527</v>
      </c>
    </row>
    <row r="38" spans="1:12" x14ac:dyDescent="0.25">
      <c r="A38">
        <v>11</v>
      </c>
      <c r="B38" t="s">
        <v>36</v>
      </c>
      <c r="C38" t="s">
        <v>517</v>
      </c>
      <c r="D38">
        <v>60</v>
      </c>
      <c r="H38" t="s">
        <v>528</v>
      </c>
    </row>
    <row r="39" spans="1:12" x14ac:dyDescent="0.25">
      <c r="A39">
        <v>12</v>
      </c>
      <c r="B39" t="s">
        <v>84</v>
      </c>
      <c r="C39" t="s">
        <v>519</v>
      </c>
      <c r="D39">
        <v>55</v>
      </c>
      <c r="H39" t="s">
        <v>529</v>
      </c>
    </row>
    <row r="41" spans="1:12" x14ac:dyDescent="0.25">
      <c r="A41" s="232" t="s">
        <v>530</v>
      </c>
      <c r="B41" s="232" t="s">
        <v>148</v>
      </c>
      <c r="C41" s="232" t="s">
        <v>461</v>
      </c>
      <c r="D41" s="233" t="s">
        <v>531</v>
      </c>
      <c r="E41" s="232" t="s">
        <v>532</v>
      </c>
      <c r="F41" s="232" t="s">
        <v>533</v>
      </c>
      <c r="G41" s="232" t="s">
        <v>534</v>
      </c>
      <c r="H41" s="232" t="s">
        <v>535</v>
      </c>
      <c r="I41" s="232" t="s">
        <v>536</v>
      </c>
      <c r="J41" s="232" t="s">
        <v>537</v>
      </c>
      <c r="K41" s="232" t="s">
        <v>538</v>
      </c>
      <c r="L41" s="232" t="s">
        <v>433</v>
      </c>
    </row>
    <row r="42" spans="1:12" x14ac:dyDescent="0.25">
      <c r="A42">
        <v>1</v>
      </c>
      <c r="B42" t="s">
        <v>67</v>
      </c>
      <c r="C42" t="s">
        <v>466</v>
      </c>
      <c r="D42">
        <v>90</v>
      </c>
      <c r="E42">
        <v>90</v>
      </c>
      <c r="F42">
        <v>0</v>
      </c>
      <c r="G42" t="s">
        <v>539</v>
      </c>
      <c r="H42" t="s">
        <v>540</v>
      </c>
      <c r="I42" t="s">
        <v>467</v>
      </c>
      <c r="J42" t="s">
        <v>468</v>
      </c>
      <c r="K42" t="s">
        <v>469</v>
      </c>
      <c r="L42" t="s">
        <v>521</v>
      </c>
    </row>
    <row r="43" spans="1:12" x14ac:dyDescent="0.25">
      <c r="A43">
        <v>2</v>
      </c>
      <c r="B43" t="s">
        <v>41</v>
      </c>
      <c r="C43" t="s">
        <v>472</v>
      </c>
      <c r="D43">
        <v>86</v>
      </c>
      <c r="E43">
        <v>86</v>
      </c>
      <c r="F43">
        <v>0</v>
      </c>
      <c r="G43" t="s">
        <v>539</v>
      </c>
      <c r="H43" t="s">
        <v>541</v>
      </c>
      <c r="I43" t="s">
        <v>473</v>
      </c>
      <c r="J43" t="s">
        <v>474</v>
      </c>
      <c r="K43" t="s">
        <v>475</v>
      </c>
      <c r="L43" t="s">
        <v>542</v>
      </c>
    </row>
    <row r="44" spans="1:12" x14ac:dyDescent="0.25">
      <c r="A44">
        <v>3</v>
      </c>
      <c r="B44" t="s">
        <v>71</v>
      </c>
      <c r="C44" t="s">
        <v>477</v>
      </c>
      <c r="D44">
        <v>84</v>
      </c>
      <c r="E44">
        <v>84</v>
      </c>
      <c r="F44">
        <v>0</v>
      </c>
      <c r="G44" t="s">
        <v>539</v>
      </c>
      <c r="H44" t="s">
        <v>540</v>
      </c>
      <c r="I44" t="s">
        <v>478</v>
      </c>
      <c r="J44" t="s">
        <v>479</v>
      </c>
      <c r="K44" t="s">
        <v>480</v>
      </c>
      <c r="L44" t="s">
        <v>543</v>
      </c>
    </row>
    <row r="45" spans="1:12" x14ac:dyDescent="0.25">
      <c r="A45">
        <v>4</v>
      </c>
      <c r="B45" t="s">
        <v>19</v>
      </c>
      <c r="C45" t="s">
        <v>482</v>
      </c>
      <c r="D45">
        <v>82</v>
      </c>
      <c r="E45">
        <v>82</v>
      </c>
      <c r="F45">
        <v>0</v>
      </c>
      <c r="G45" t="s">
        <v>539</v>
      </c>
      <c r="H45" t="s">
        <v>544</v>
      </c>
      <c r="I45" t="s">
        <v>483</v>
      </c>
      <c r="J45" t="s">
        <v>484</v>
      </c>
      <c r="K45" t="s">
        <v>485</v>
      </c>
      <c r="L45" t="s">
        <v>545</v>
      </c>
    </row>
    <row r="46" spans="1:12" x14ac:dyDescent="0.25">
      <c r="A46">
        <v>5</v>
      </c>
      <c r="B46" t="s">
        <v>68</v>
      </c>
      <c r="C46" t="s">
        <v>487</v>
      </c>
      <c r="D46">
        <v>81</v>
      </c>
      <c r="E46">
        <v>81</v>
      </c>
      <c r="F46">
        <v>0</v>
      </c>
      <c r="G46" t="s">
        <v>539</v>
      </c>
      <c r="H46" t="s">
        <v>544</v>
      </c>
      <c r="I46" t="s">
        <v>488</v>
      </c>
      <c r="J46" t="s">
        <v>489</v>
      </c>
      <c r="K46" t="s">
        <v>490</v>
      </c>
      <c r="L46" t="s">
        <v>491</v>
      </c>
    </row>
    <row r="47" spans="1:12" x14ac:dyDescent="0.25">
      <c r="A47">
        <v>6</v>
      </c>
      <c r="B47" t="s">
        <v>39</v>
      </c>
      <c r="C47" t="s">
        <v>492</v>
      </c>
      <c r="D47">
        <v>78</v>
      </c>
      <c r="E47">
        <v>77</v>
      </c>
      <c r="F47">
        <v>1</v>
      </c>
      <c r="G47" t="s">
        <v>546</v>
      </c>
      <c r="H47" t="s">
        <v>547</v>
      </c>
      <c r="I47" t="s">
        <v>493</v>
      </c>
      <c r="J47" t="s">
        <v>494</v>
      </c>
      <c r="K47" t="s">
        <v>495</v>
      </c>
      <c r="L47" t="s">
        <v>523</v>
      </c>
    </row>
    <row r="48" spans="1:12" x14ac:dyDescent="0.25">
      <c r="A48">
        <v>7</v>
      </c>
      <c r="B48" t="s">
        <v>82</v>
      </c>
      <c r="C48" t="s">
        <v>497</v>
      </c>
      <c r="D48">
        <v>74</v>
      </c>
      <c r="E48">
        <v>74</v>
      </c>
      <c r="F48">
        <v>0</v>
      </c>
      <c r="G48" t="s">
        <v>539</v>
      </c>
      <c r="H48" t="s">
        <v>548</v>
      </c>
      <c r="I48" t="s">
        <v>498</v>
      </c>
      <c r="J48" t="s">
        <v>499</v>
      </c>
      <c r="K48" t="s">
        <v>500</v>
      </c>
      <c r="L48" t="s">
        <v>524</v>
      </c>
    </row>
    <row r="49" spans="1:12" x14ac:dyDescent="0.25">
      <c r="A49">
        <v>8</v>
      </c>
      <c r="B49" t="s">
        <v>22</v>
      </c>
      <c r="C49" t="s">
        <v>502</v>
      </c>
      <c r="D49">
        <v>70</v>
      </c>
      <c r="E49">
        <v>70</v>
      </c>
      <c r="F49">
        <v>0</v>
      </c>
      <c r="G49" t="s">
        <v>539</v>
      </c>
      <c r="H49" t="s">
        <v>549</v>
      </c>
      <c r="I49" t="s">
        <v>503</v>
      </c>
      <c r="J49" t="s">
        <v>504</v>
      </c>
      <c r="K49" t="s">
        <v>505</v>
      </c>
      <c r="L49" t="s">
        <v>525</v>
      </c>
    </row>
    <row r="50" spans="1:12" x14ac:dyDescent="0.25">
      <c r="A50">
        <v>9</v>
      </c>
      <c r="B50" t="s">
        <v>86</v>
      </c>
      <c r="C50" t="s">
        <v>507</v>
      </c>
      <c r="D50">
        <v>67</v>
      </c>
      <c r="E50">
        <v>67</v>
      </c>
      <c r="F50">
        <v>0</v>
      </c>
      <c r="G50" t="s">
        <v>539</v>
      </c>
      <c r="H50" t="s">
        <v>550</v>
      </c>
      <c r="I50" t="s">
        <v>508</v>
      </c>
      <c r="J50" t="s">
        <v>509</v>
      </c>
      <c r="K50" t="s">
        <v>510</v>
      </c>
      <c r="L50" t="s">
        <v>551</v>
      </c>
    </row>
    <row r="51" spans="1:12" x14ac:dyDescent="0.25">
      <c r="A51">
        <v>10</v>
      </c>
      <c r="B51" t="s">
        <v>27</v>
      </c>
      <c r="C51" t="s">
        <v>512</v>
      </c>
      <c r="D51">
        <v>64</v>
      </c>
      <c r="E51">
        <v>64</v>
      </c>
      <c r="F51">
        <v>0</v>
      </c>
      <c r="G51" t="s">
        <v>539</v>
      </c>
      <c r="H51" t="s">
        <v>527</v>
      </c>
      <c r="I51" t="s">
        <v>513</v>
      </c>
      <c r="J51" t="s">
        <v>514</v>
      </c>
      <c r="K51" t="s">
        <v>515</v>
      </c>
      <c r="L51" t="s">
        <v>552</v>
      </c>
    </row>
    <row r="52" spans="1:12" x14ac:dyDescent="0.25">
      <c r="A52">
        <v>11</v>
      </c>
      <c r="B52" t="s">
        <v>36</v>
      </c>
      <c r="C52" t="s">
        <v>517</v>
      </c>
      <c r="D52">
        <v>60</v>
      </c>
      <c r="E52">
        <v>60</v>
      </c>
      <c r="F52">
        <v>0</v>
      </c>
      <c r="G52" t="s">
        <v>539</v>
      </c>
      <c r="H52" t="s">
        <v>553</v>
      </c>
      <c r="I52" t="s">
        <v>554</v>
      </c>
      <c r="J52" t="s">
        <v>554</v>
      </c>
      <c r="K52" t="s">
        <v>554</v>
      </c>
      <c r="L52" t="s">
        <v>555</v>
      </c>
    </row>
    <row r="53" spans="1:12" x14ac:dyDescent="0.25">
      <c r="A53">
        <v>12</v>
      </c>
      <c r="B53" t="s">
        <v>84</v>
      </c>
      <c r="C53" t="s">
        <v>519</v>
      </c>
      <c r="D53">
        <v>55</v>
      </c>
      <c r="E53">
        <v>55</v>
      </c>
      <c r="F53">
        <v>0</v>
      </c>
      <c r="G53" t="s">
        <v>539</v>
      </c>
      <c r="H53" t="s">
        <v>553</v>
      </c>
      <c r="I53" t="s">
        <v>554</v>
      </c>
      <c r="J53" t="s">
        <v>554</v>
      </c>
      <c r="K53" t="s">
        <v>554</v>
      </c>
      <c r="L53" t="s">
        <v>520</v>
      </c>
    </row>
    <row r="56" spans="1:12" x14ac:dyDescent="0.25">
      <c r="A56" t="s">
        <v>530</v>
      </c>
      <c r="B56" t="s">
        <v>148</v>
      </c>
      <c r="C56" t="s">
        <v>461</v>
      </c>
      <c r="D56" t="s">
        <v>531</v>
      </c>
      <c r="E56" t="s">
        <v>532</v>
      </c>
      <c r="F56" t="s">
        <v>556</v>
      </c>
      <c r="G56" t="s">
        <v>534</v>
      </c>
      <c r="H56" t="s">
        <v>535</v>
      </c>
      <c r="I56" t="s">
        <v>536</v>
      </c>
      <c r="J56" t="s">
        <v>537</v>
      </c>
      <c r="K56" t="s">
        <v>538</v>
      </c>
      <c r="L56" t="s">
        <v>433</v>
      </c>
    </row>
    <row r="57" spans="1:12" x14ac:dyDescent="0.25">
      <c r="A57">
        <v>1</v>
      </c>
      <c r="B57" t="s">
        <v>67</v>
      </c>
      <c r="C57" t="s">
        <v>466</v>
      </c>
      <c r="D57">
        <v>90</v>
      </c>
      <c r="E57">
        <v>90</v>
      </c>
      <c r="F57">
        <v>0</v>
      </c>
      <c r="G57" t="s">
        <v>539</v>
      </c>
      <c r="H57" t="s">
        <v>540</v>
      </c>
      <c r="I57" t="s">
        <v>467</v>
      </c>
      <c r="J57" t="s">
        <v>468</v>
      </c>
      <c r="K57" t="s">
        <v>469</v>
      </c>
      <c r="L57" t="s">
        <v>521</v>
      </c>
    </row>
    <row r="58" spans="1:12" x14ac:dyDescent="0.25">
      <c r="A58">
        <v>2</v>
      </c>
      <c r="B58" t="s">
        <v>41</v>
      </c>
      <c r="C58" t="s">
        <v>472</v>
      </c>
      <c r="D58">
        <v>86</v>
      </c>
      <c r="E58">
        <v>86</v>
      </c>
      <c r="F58">
        <v>0</v>
      </c>
      <c r="G58" t="s">
        <v>539</v>
      </c>
      <c r="H58" t="s">
        <v>541</v>
      </c>
      <c r="I58" t="s">
        <v>473</v>
      </c>
      <c r="J58" t="s">
        <v>474</v>
      </c>
      <c r="K58" t="s">
        <v>475</v>
      </c>
      <c r="L58" t="s">
        <v>542</v>
      </c>
    </row>
    <row r="59" spans="1:12" x14ac:dyDescent="0.25">
      <c r="A59">
        <v>3</v>
      </c>
      <c r="B59" t="s">
        <v>71</v>
      </c>
      <c r="C59" t="s">
        <v>477</v>
      </c>
      <c r="D59">
        <v>84</v>
      </c>
      <c r="E59">
        <v>84</v>
      </c>
      <c r="F59">
        <v>0</v>
      </c>
      <c r="G59" t="s">
        <v>539</v>
      </c>
      <c r="H59" t="s">
        <v>540</v>
      </c>
      <c r="I59" t="s">
        <v>478</v>
      </c>
      <c r="J59" t="s">
        <v>479</v>
      </c>
      <c r="K59" t="s">
        <v>480</v>
      </c>
      <c r="L59" t="s">
        <v>543</v>
      </c>
    </row>
    <row r="60" spans="1:12" x14ac:dyDescent="0.25">
      <c r="A60">
        <v>4</v>
      </c>
      <c r="B60" t="s">
        <v>19</v>
      </c>
      <c r="C60" t="s">
        <v>482</v>
      </c>
      <c r="D60">
        <v>82</v>
      </c>
      <c r="E60">
        <v>82</v>
      </c>
      <c r="F60">
        <v>0</v>
      </c>
      <c r="G60" t="s">
        <v>539</v>
      </c>
      <c r="H60" t="s">
        <v>544</v>
      </c>
      <c r="I60" t="s">
        <v>483</v>
      </c>
      <c r="J60" t="s">
        <v>484</v>
      </c>
      <c r="K60" t="s">
        <v>485</v>
      </c>
      <c r="L60" t="s">
        <v>545</v>
      </c>
    </row>
    <row r="61" spans="1:12" x14ac:dyDescent="0.25">
      <c r="A61">
        <v>5</v>
      </c>
      <c r="B61" t="s">
        <v>68</v>
      </c>
      <c r="C61" t="s">
        <v>487</v>
      </c>
      <c r="D61">
        <v>81</v>
      </c>
      <c r="E61">
        <v>81</v>
      </c>
      <c r="F61">
        <v>0</v>
      </c>
      <c r="G61" t="s">
        <v>539</v>
      </c>
      <c r="H61" t="s">
        <v>544</v>
      </c>
      <c r="I61" t="s">
        <v>488</v>
      </c>
      <c r="J61" t="s">
        <v>489</v>
      </c>
      <c r="K61" t="s">
        <v>490</v>
      </c>
      <c r="L61" t="s">
        <v>491</v>
      </c>
    </row>
    <row r="62" spans="1:12" x14ac:dyDescent="0.25">
      <c r="A62">
        <v>6</v>
      </c>
      <c r="B62" t="s">
        <v>39</v>
      </c>
      <c r="C62" t="s">
        <v>492</v>
      </c>
      <c r="D62">
        <v>79</v>
      </c>
      <c r="E62">
        <v>78</v>
      </c>
      <c r="F62">
        <v>1</v>
      </c>
      <c r="G62" t="s">
        <v>546</v>
      </c>
      <c r="H62" t="s">
        <v>547</v>
      </c>
      <c r="I62" t="s">
        <v>493</v>
      </c>
      <c r="J62" t="s">
        <v>494</v>
      </c>
      <c r="K62" t="s">
        <v>495</v>
      </c>
      <c r="L62" t="s">
        <v>557</v>
      </c>
    </row>
    <row r="63" spans="1:12" x14ac:dyDescent="0.25">
      <c r="A63">
        <v>7</v>
      </c>
      <c r="B63" t="s">
        <v>82</v>
      </c>
      <c r="C63" t="s">
        <v>497</v>
      </c>
      <c r="D63">
        <v>74</v>
      </c>
      <c r="E63">
        <v>74</v>
      </c>
      <c r="F63">
        <v>0</v>
      </c>
      <c r="G63" t="s">
        <v>539</v>
      </c>
      <c r="H63" t="s">
        <v>548</v>
      </c>
      <c r="I63" t="s">
        <v>498</v>
      </c>
      <c r="J63" t="s">
        <v>499</v>
      </c>
      <c r="K63" t="s">
        <v>500</v>
      </c>
      <c r="L63" t="s">
        <v>524</v>
      </c>
    </row>
    <row r="64" spans="1:12" x14ac:dyDescent="0.25">
      <c r="A64">
        <v>8</v>
      </c>
      <c r="B64" t="s">
        <v>22</v>
      </c>
      <c r="C64" t="s">
        <v>502</v>
      </c>
      <c r="D64">
        <v>70</v>
      </c>
      <c r="E64">
        <v>70</v>
      </c>
      <c r="F64">
        <v>0</v>
      </c>
      <c r="G64" t="s">
        <v>539</v>
      </c>
      <c r="H64" t="s">
        <v>549</v>
      </c>
      <c r="I64" t="s">
        <v>503</v>
      </c>
      <c r="J64" t="s">
        <v>504</v>
      </c>
      <c r="K64" t="s">
        <v>505</v>
      </c>
      <c r="L64" t="s">
        <v>525</v>
      </c>
    </row>
    <row r="65" spans="1:12" x14ac:dyDescent="0.25">
      <c r="A65">
        <v>9</v>
      </c>
      <c r="B65" t="s">
        <v>86</v>
      </c>
      <c r="C65" t="s">
        <v>507</v>
      </c>
      <c r="D65">
        <v>67</v>
      </c>
      <c r="E65">
        <v>67</v>
      </c>
      <c r="F65">
        <v>0</v>
      </c>
      <c r="G65" t="s">
        <v>539</v>
      </c>
      <c r="H65" t="s">
        <v>550</v>
      </c>
      <c r="I65" t="s">
        <v>508</v>
      </c>
      <c r="J65" t="s">
        <v>509</v>
      </c>
      <c r="K65" t="s">
        <v>510</v>
      </c>
      <c r="L65" t="s">
        <v>551</v>
      </c>
    </row>
    <row r="66" spans="1:12" x14ac:dyDescent="0.25">
      <c r="A66">
        <v>10</v>
      </c>
      <c r="B66" t="s">
        <v>27</v>
      </c>
      <c r="C66" t="s">
        <v>512</v>
      </c>
      <c r="D66">
        <v>64</v>
      </c>
      <c r="E66">
        <v>64</v>
      </c>
      <c r="F66">
        <v>0</v>
      </c>
      <c r="G66" t="s">
        <v>539</v>
      </c>
      <c r="H66" t="s">
        <v>527</v>
      </c>
      <c r="I66" t="s">
        <v>513</v>
      </c>
      <c r="J66" t="s">
        <v>514</v>
      </c>
      <c r="K66" t="s">
        <v>515</v>
      </c>
      <c r="L66" t="s">
        <v>552</v>
      </c>
    </row>
    <row r="67" spans="1:12" x14ac:dyDescent="0.25">
      <c r="A67">
        <v>11</v>
      </c>
      <c r="B67" t="s">
        <v>36</v>
      </c>
      <c r="C67" t="s">
        <v>517</v>
      </c>
      <c r="D67">
        <v>60</v>
      </c>
      <c r="E67">
        <v>60</v>
      </c>
      <c r="F67">
        <v>0</v>
      </c>
      <c r="G67" t="s">
        <v>539</v>
      </c>
      <c r="H67" t="s">
        <v>553</v>
      </c>
      <c r="I67" t="s">
        <v>554</v>
      </c>
      <c r="J67" t="s">
        <v>554</v>
      </c>
      <c r="K67" t="s">
        <v>554</v>
      </c>
      <c r="L67" t="s">
        <v>555</v>
      </c>
    </row>
    <row r="68" spans="1:12" x14ac:dyDescent="0.25">
      <c r="A68">
        <v>12</v>
      </c>
      <c r="B68" t="s">
        <v>84</v>
      </c>
      <c r="C68" t="s">
        <v>519</v>
      </c>
      <c r="D68">
        <v>55</v>
      </c>
      <c r="E68">
        <v>55</v>
      </c>
      <c r="F68">
        <v>0</v>
      </c>
      <c r="G68" t="s">
        <v>539</v>
      </c>
      <c r="H68" t="s">
        <v>553</v>
      </c>
      <c r="I68" t="s">
        <v>554</v>
      </c>
      <c r="J68" t="s">
        <v>554</v>
      </c>
      <c r="K68" t="s">
        <v>554</v>
      </c>
      <c r="L68" t="s">
        <v>520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13" r:id="rId1" display="pedro.pdayala@gmail.com" xr:uid="{8BB681A6-E432-45A0-B08F-5F2143A38579}"/>
  </hyperlinks>
  <pageMargins left="0.75" right="0.75" top="1" bottom="1" header="0.5" footer="0.5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39A8-8C22-4E05-8C57-D4727224B2F1}">
  <sheetPr>
    <tabColor theme="9" tint="0.39997558519241921"/>
  </sheetPr>
  <dimension ref="A1:AO92"/>
  <sheetViews>
    <sheetView workbookViewId="0">
      <pane xSplit="3" ySplit="2" topLeftCell="D50" activePane="bottomRight" state="frozen"/>
      <selection activeCell="B117" sqref="B117:C117"/>
      <selection pane="topRight" activeCell="B117" sqref="B117:C117"/>
      <selection pane="bottomLeft" activeCell="B117" sqref="B117:C117"/>
      <selection pane="bottomRight" activeCell="B117" sqref="B117:C117"/>
    </sheetView>
  </sheetViews>
  <sheetFormatPr baseColWidth="10" defaultColWidth="10.85546875" defaultRowHeight="15" x14ac:dyDescent="0.25"/>
  <cols>
    <col min="2" max="2" width="12" bestFit="1" customWidth="1"/>
    <col min="37" max="37" width="13.85546875" bestFit="1" customWidth="1"/>
  </cols>
  <sheetData>
    <row r="1" spans="1:41" ht="15.75" thickBot="1" x14ac:dyDescent="0.3">
      <c r="C1" s="188">
        <v>1</v>
      </c>
      <c r="D1" s="188">
        <v>2</v>
      </c>
      <c r="E1" s="188">
        <v>3</v>
      </c>
      <c r="F1" s="188">
        <v>4</v>
      </c>
      <c r="G1" s="188">
        <v>5</v>
      </c>
      <c r="H1" s="188">
        <v>6</v>
      </c>
      <c r="I1" s="188">
        <v>7</v>
      </c>
      <c r="J1" s="188">
        <v>8</v>
      </c>
      <c r="K1" s="188">
        <v>9</v>
      </c>
      <c r="L1" s="188">
        <v>10</v>
      </c>
      <c r="M1" s="188">
        <v>11</v>
      </c>
      <c r="N1" s="188">
        <v>12</v>
      </c>
      <c r="O1" s="188">
        <v>13</v>
      </c>
      <c r="P1" s="188">
        <v>14</v>
      </c>
      <c r="Q1" s="188">
        <v>15</v>
      </c>
      <c r="R1" s="188">
        <v>16</v>
      </c>
      <c r="S1" s="188">
        <v>17</v>
      </c>
      <c r="T1" s="188">
        <v>18</v>
      </c>
      <c r="U1" s="188">
        <v>19</v>
      </c>
      <c r="V1" s="188">
        <v>20</v>
      </c>
      <c r="W1" s="188">
        <v>21</v>
      </c>
      <c r="X1" s="188">
        <v>22</v>
      </c>
      <c r="Y1" s="188">
        <v>23</v>
      </c>
      <c r="Z1" s="188">
        <v>24</v>
      </c>
      <c r="AA1" s="188">
        <v>25</v>
      </c>
      <c r="AB1" s="188">
        <v>26</v>
      </c>
      <c r="AC1" s="188">
        <v>27</v>
      </c>
      <c r="AD1" s="188">
        <v>28</v>
      </c>
      <c r="AE1" s="188">
        <v>29</v>
      </c>
      <c r="AF1" s="242" t="s">
        <v>558</v>
      </c>
    </row>
    <row r="2" spans="1:41" ht="15.75" thickBot="1" x14ac:dyDescent="0.3">
      <c r="A2" s="188" t="s">
        <v>559</v>
      </c>
      <c r="B2" s="188" t="s">
        <v>560</v>
      </c>
      <c r="C2" s="155"/>
      <c r="D2" s="190">
        <v>46004</v>
      </c>
      <c r="E2" s="190">
        <v>46006</v>
      </c>
      <c r="F2" s="190">
        <v>46007</v>
      </c>
      <c r="G2" s="190">
        <v>46008</v>
      </c>
      <c r="H2" s="190">
        <v>46009</v>
      </c>
      <c r="I2" s="190">
        <v>46010</v>
      </c>
      <c r="J2" s="190">
        <v>46011</v>
      </c>
      <c r="K2" s="190">
        <v>46014</v>
      </c>
      <c r="L2" s="190">
        <v>46015</v>
      </c>
      <c r="M2" s="190">
        <v>46016</v>
      </c>
      <c r="N2" s="190">
        <v>46017</v>
      </c>
      <c r="O2" s="190">
        <v>46018</v>
      </c>
      <c r="P2" s="190">
        <v>46021</v>
      </c>
      <c r="Q2" s="190">
        <v>46022</v>
      </c>
      <c r="R2" s="190">
        <v>46023</v>
      </c>
      <c r="S2" s="190">
        <v>46025</v>
      </c>
      <c r="T2" s="190">
        <v>46027</v>
      </c>
      <c r="U2" s="190">
        <v>46028</v>
      </c>
      <c r="V2" s="190">
        <v>46029</v>
      </c>
      <c r="W2" s="190">
        <v>46030</v>
      </c>
      <c r="X2" s="190">
        <v>46031</v>
      </c>
      <c r="Y2" s="190">
        <v>46032</v>
      </c>
      <c r="Z2" s="190">
        <v>46034</v>
      </c>
      <c r="AA2" s="190">
        <v>46035</v>
      </c>
      <c r="AB2" s="190">
        <v>46036</v>
      </c>
      <c r="AC2" s="190">
        <v>46037</v>
      </c>
      <c r="AD2" s="190">
        <v>46038</v>
      </c>
      <c r="AE2" s="190">
        <v>46039</v>
      </c>
      <c r="AI2" s="188" t="s">
        <v>559</v>
      </c>
      <c r="AJ2" s="188" t="s">
        <v>560</v>
      </c>
      <c r="AK2" s="155"/>
      <c r="AM2" s="188" t="s">
        <v>559</v>
      </c>
      <c r="AN2" s="188" t="s">
        <v>560</v>
      </c>
      <c r="AO2" s="155"/>
    </row>
    <row r="3" spans="1:41" x14ac:dyDescent="0.25">
      <c r="A3" s="135">
        <f>_xlfn.STDEV.S(D3:AF3)/AVERAGE(D3:AF3)</f>
        <v>9.4495064568731135E-2</v>
      </c>
      <c r="B3" s="135">
        <f>AVERAGE(D3:AF3)/D3-1</f>
        <v>3.7303058387395671E-2</v>
      </c>
      <c r="C3" s="243" t="s">
        <v>50</v>
      </c>
      <c r="D3" s="196">
        <v>1618.5</v>
      </c>
      <c r="E3" s="196">
        <v>1581</v>
      </c>
      <c r="F3" s="196">
        <v>1499</v>
      </c>
      <c r="G3" s="196">
        <v>1528.5</v>
      </c>
      <c r="H3" s="196">
        <v>1548</v>
      </c>
      <c r="I3" s="196">
        <v>1548</v>
      </c>
      <c r="J3" s="196">
        <v>1563.5</v>
      </c>
      <c r="K3" s="196">
        <v>1541.5</v>
      </c>
      <c r="L3" s="196">
        <v>1541.5</v>
      </c>
      <c r="M3" s="196">
        <v>1541.5</v>
      </c>
      <c r="N3" s="196">
        <v>1541.5</v>
      </c>
      <c r="O3" s="196">
        <v>1541.5</v>
      </c>
      <c r="P3" s="196">
        <v>1524.5</v>
      </c>
      <c r="Q3" s="196">
        <v>1555</v>
      </c>
      <c r="R3" s="196">
        <v>1555</v>
      </c>
      <c r="S3" s="196">
        <v>1596</v>
      </c>
      <c r="T3" s="196">
        <v>1712.5</v>
      </c>
      <c r="U3" s="196">
        <v>1747.5</v>
      </c>
      <c r="V3" s="196">
        <v>1738.5</v>
      </c>
      <c r="W3" s="196">
        <v>1818</v>
      </c>
      <c r="X3" s="196">
        <v>1855.5</v>
      </c>
      <c r="Y3" s="196">
        <v>1896.5</v>
      </c>
      <c r="Z3" s="196">
        <v>1894.5</v>
      </c>
      <c r="AA3" s="196">
        <v>1891</v>
      </c>
      <c r="AB3" s="196">
        <v>1904</v>
      </c>
      <c r="AC3" s="196">
        <v>1901.5</v>
      </c>
      <c r="AD3" s="196">
        <v>1918</v>
      </c>
      <c r="AE3" s="196">
        <v>1906.5</v>
      </c>
      <c r="AI3" s="135">
        <v>0.14080978983004885</v>
      </c>
      <c r="AJ3" s="135">
        <v>0.18857142857142839</v>
      </c>
      <c r="AK3" s="244" t="s">
        <v>27</v>
      </c>
      <c r="AM3" s="135">
        <v>0.14080978983004885</v>
      </c>
      <c r="AN3" s="135">
        <v>0.18857142857142839</v>
      </c>
      <c r="AO3" s="244" t="s">
        <v>27</v>
      </c>
    </row>
    <row r="4" spans="1:41" x14ac:dyDescent="0.25">
      <c r="A4" s="135">
        <f t="shared" ref="A4:A66" si="0">_xlfn.STDEV.S(D4:AF4)/AVERAGE(D4:AF4)</f>
        <v>2.9146367569600491E-2</v>
      </c>
      <c r="B4" s="135">
        <f t="shared" ref="B4:B66" si="1">AVERAGE(D4:AF4)/D4-1</f>
        <v>2.5144965735371727E-2</v>
      </c>
      <c r="C4" s="245" t="s">
        <v>23</v>
      </c>
      <c r="D4" s="196">
        <v>54.2</v>
      </c>
      <c r="E4" s="196">
        <v>55</v>
      </c>
      <c r="F4" s="196">
        <v>54.92</v>
      </c>
      <c r="G4" s="196">
        <v>55.54</v>
      </c>
      <c r="H4" s="196">
        <v>55.42</v>
      </c>
      <c r="I4" s="196">
        <v>55.42</v>
      </c>
      <c r="J4" s="196">
        <v>55.62</v>
      </c>
      <c r="K4" s="196">
        <v>54.16</v>
      </c>
      <c r="L4" s="196">
        <v>54.16</v>
      </c>
      <c r="M4" s="196">
        <v>54.36</v>
      </c>
      <c r="N4" s="196">
        <v>54.36</v>
      </c>
      <c r="O4" s="196">
        <v>54.36</v>
      </c>
      <c r="P4" s="196">
        <v>54.91</v>
      </c>
      <c r="Q4" s="196">
        <v>54.98</v>
      </c>
      <c r="R4" s="196">
        <v>54.92</v>
      </c>
      <c r="S4" s="196">
        <v>54.4</v>
      </c>
      <c r="T4" s="196">
        <v>54.22</v>
      </c>
      <c r="U4" s="196">
        <v>53.98</v>
      </c>
      <c r="V4" s="196">
        <v>54.78</v>
      </c>
      <c r="W4" s="196">
        <v>54.42</v>
      </c>
      <c r="X4" s="196">
        <v>55.84</v>
      </c>
      <c r="Y4" s="196">
        <v>56.5</v>
      </c>
      <c r="Z4" s="196">
        <v>56.92</v>
      </c>
      <c r="AA4" s="196">
        <v>56.94</v>
      </c>
      <c r="AB4" s="196">
        <v>57.37</v>
      </c>
      <c r="AC4" s="196">
        <v>59.54</v>
      </c>
      <c r="AD4" s="196">
        <v>59.38</v>
      </c>
      <c r="AE4" s="196">
        <v>59.14</v>
      </c>
      <c r="AI4" s="135">
        <v>0.1244636288868919</v>
      </c>
      <c r="AJ4" s="135">
        <v>0.11489068347449272</v>
      </c>
      <c r="AK4" s="201" t="s">
        <v>57</v>
      </c>
      <c r="AM4" s="135">
        <v>3.6384305099350846E-2</v>
      </c>
      <c r="AN4" s="135">
        <v>0.12020879940342977</v>
      </c>
      <c r="AO4" s="201" t="s">
        <v>49</v>
      </c>
    </row>
    <row r="5" spans="1:41" x14ac:dyDescent="0.25">
      <c r="A5" s="135">
        <f t="shared" si="0"/>
        <v>4.4221856999754103E-2</v>
      </c>
      <c r="B5" s="135">
        <f t="shared" si="1"/>
        <v>5.3481993799189054E-2</v>
      </c>
      <c r="C5" s="246" t="s">
        <v>39</v>
      </c>
      <c r="D5" s="196">
        <v>11.98</v>
      </c>
      <c r="E5" s="196">
        <v>12.05</v>
      </c>
      <c r="F5" s="196">
        <v>12.2</v>
      </c>
      <c r="G5" s="196">
        <v>11.9</v>
      </c>
      <c r="H5" s="196">
        <v>12</v>
      </c>
      <c r="I5" s="196">
        <v>12</v>
      </c>
      <c r="J5" s="196">
        <v>11.91</v>
      </c>
      <c r="K5" s="196">
        <v>12.07</v>
      </c>
      <c r="L5" s="196">
        <v>12.07</v>
      </c>
      <c r="M5" s="196">
        <v>12.11</v>
      </c>
      <c r="N5" s="196">
        <v>12.11</v>
      </c>
      <c r="O5" s="196">
        <v>12.11</v>
      </c>
      <c r="P5" s="196">
        <v>12.33</v>
      </c>
      <c r="Q5" s="196">
        <v>12.63</v>
      </c>
      <c r="R5" s="196">
        <v>12.66</v>
      </c>
      <c r="S5" s="196">
        <v>13</v>
      </c>
      <c r="T5" s="196">
        <v>12.98</v>
      </c>
      <c r="U5" s="196">
        <v>13.07</v>
      </c>
      <c r="V5" s="196">
        <v>13.02</v>
      </c>
      <c r="W5" s="196">
        <v>13.3</v>
      </c>
      <c r="X5" s="196">
        <v>13.13</v>
      </c>
      <c r="Y5" s="196">
        <v>13.16</v>
      </c>
      <c r="Z5" s="196">
        <v>13.2</v>
      </c>
      <c r="AA5" s="196">
        <v>13.07</v>
      </c>
      <c r="AB5" s="196">
        <v>13.34</v>
      </c>
      <c r="AC5" s="196">
        <v>13.26</v>
      </c>
      <c r="AD5" s="196">
        <v>13.47</v>
      </c>
      <c r="AE5" s="196">
        <v>13.25</v>
      </c>
      <c r="AI5" s="135">
        <v>9.6702702957767839E-2</v>
      </c>
      <c r="AJ5" s="135">
        <v>7.1150684931506891E-2</v>
      </c>
      <c r="AK5" s="201" t="s">
        <v>90</v>
      </c>
      <c r="AM5" s="135">
        <v>4.2134495230667E-2</v>
      </c>
      <c r="AN5" s="135">
        <v>0.11872170439414131</v>
      </c>
      <c r="AO5" s="200" t="s">
        <v>44</v>
      </c>
    </row>
    <row r="6" spans="1:41" x14ac:dyDescent="0.25">
      <c r="A6" s="135">
        <f t="shared" si="0"/>
        <v>4.7289697291831238E-2</v>
      </c>
      <c r="B6" s="135">
        <f t="shared" si="1"/>
        <v>4.5906576476112404E-2</v>
      </c>
      <c r="C6" s="246" t="s">
        <v>24</v>
      </c>
      <c r="D6" s="196">
        <v>194.72</v>
      </c>
      <c r="E6" s="196">
        <v>195.64</v>
      </c>
      <c r="F6" s="196">
        <v>192.96</v>
      </c>
      <c r="G6" s="196">
        <v>190.7</v>
      </c>
      <c r="H6" s="196">
        <v>193.04</v>
      </c>
      <c r="I6" s="196">
        <v>193.04</v>
      </c>
      <c r="J6" s="196">
        <v>196.16</v>
      </c>
      <c r="K6" s="196">
        <v>196.3</v>
      </c>
      <c r="L6" s="196">
        <v>196.3</v>
      </c>
      <c r="M6" s="196">
        <v>196.88</v>
      </c>
      <c r="N6" s="196">
        <v>196.88</v>
      </c>
      <c r="O6" s="196">
        <v>196.88</v>
      </c>
      <c r="P6" s="196">
        <v>195.98</v>
      </c>
      <c r="Q6" s="196">
        <v>199.14</v>
      </c>
      <c r="R6" s="196">
        <v>198.28</v>
      </c>
      <c r="S6" s="196">
        <v>203</v>
      </c>
      <c r="T6" s="196">
        <v>207.2</v>
      </c>
      <c r="U6" s="196">
        <v>208</v>
      </c>
      <c r="V6" s="196">
        <v>207.75</v>
      </c>
      <c r="W6" s="196">
        <v>214.9</v>
      </c>
      <c r="X6" s="196">
        <v>215.05</v>
      </c>
      <c r="Y6" s="196">
        <v>214.6</v>
      </c>
      <c r="Z6" s="196">
        <v>216.45</v>
      </c>
      <c r="AA6" s="196">
        <v>217.65</v>
      </c>
      <c r="AB6" s="196">
        <v>220.05</v>
      </c>
      <c r="AC6" s="196">
        <v>213.55</v>
      </c>
      <c r="AD6" s="196">
        <v>214.55</v>
      </c>
      <c r="AE6" s="196">
        <v>216.8</v>
      </c>
      <c r="AI6" s="135">
        <v>8.9025113932893668E-2</v>
      </c>
      <c r="AJ6" s="135">
        <v>4.9855907780980147E-2</v>
      </c>
      <c r="AK6" s="201" t="s">
        <v>41</v>
      </c>
      <c r="AM6" s="135">
        <v>0.1244636288868919</v>
      </c>
      <c r="AN6" s="135">
        <v>0.11489068347449272</v>
      </c>
      <c r="AO6" s="201" t="s">
        <v>57</v>
      </c>
    </row>
    <row r="7" spans="1:41" x14ac:dyDescent="0.25">
      <c r="A7" s="135">
        <f t="shared" si="0"/>
        <v>8.4651761618559571E-2</v>
      </c>
      <c r="B7" s="135">
        <f t="shared" si="1"/>
        <v>6.3123122097787254E-2</v>
      </c>
      <c r="C7" s="246" t="s">
        <v>54</v>
      </c>
      <c r="D7" s="196">
        <v>83.68</v>
      </c>
      <c r="E7" s="196">
        <v>83.24</v>
      </c>
      <c r="F7" s="196">
        <v>81.040000000000006</v>
      </c>
      <c r="G7" s="196">
        <v>81.27</v>
      </c>
      <c r="H7" s="196">
        <v>82.48</v>
      </c>
      <c r="I7" s="196">
        <v>81.88</v>
      </c>
      <c r="J7" s="196">
        <v>82.71</v>
      </c>
      <c r="K7" s="196">
        <v>86.02</v>
      </c>
      <c r="L7" s="196">
        <v>85.44</v>
      </c>
      <c r="M7" s="196">
        <v>86.03</v>
      </c>
      <c r="N7" s="196">
        <v>86.03</v>
      </c>
      <c r="O7" s="196">
        <v>85.07</v>
      </c>
      <c r="P7" s="196">
        <v>84.51</v>
      </c>
      <c r="Q7" s="196">
        <v>83.52</v>
      </c>
      <c r="R7" s="196">
        <v>82.79</v>
      </c>
      <c r="S7" s="196">
        <v>84.45</v>
      </c>
      <c r="T7" s="196">
        <v>84.45</v>
      </c>
      <c r="U7" s="196">
        <v>88.02</v>
      </c>
      <c r="V7" s="196">
        <v>89.46</v>
      </c>
      <c r="W7" s="196">
        <v>91.34</v>
      </c>
      <c r="X7" s="196">
        <v>94.73</v>
      </c>
      <c r="Y7" s="196">
        <v>97.03</v>
      </c>
      <c r="Z7" s="196">
        <v>97.91</v>
      </c>
      <c r="AA7" s="196">
        <v>98.23</v>
      </c>
      <c r="AB7" s="196">
        <v>97.71</v>
      </c>
      <c r="AC7" s="196">
        <v>101.08</v>
      </c>
      <c r="AD7" s="196">
        <v>105.74</v>
      </c>
      <c r="AE7" s="196">
        <v>105.08</v>
      </c>
      <c r="AI7" s="135">
        <v>8.7581387594786009E-2</v>
      </c>
      <c r="AJ7" s="135">
        <v>2.0265678097003414E-2</v>
      </c>
      <c r="AK7" s="201" t="s">
        <v>50</v>
      </c>
      <c r="AM7" s="135">
        <v>5.7911059923756343E-2</v>
      </c>
      <c r="AN7" s="135">
        <v>8.3696124031007679E-2</v>
      </c>
      <c r="AO7" s="201" t="s">
        <v>40</v>
      </c>
    </row>
    <row r="8" spans="1:41" x14ac:dyDescent="0.25">
      <c r="A8" s="135">
        <f t="shared" si="0"/>
        <v>1.2298132980057009E-2</v>
      </c>
      <c r="B8" s="135">
        <f t="shared" si="1"/>
        <v>1.2354967367657732E-2</v>
      </c>
      <c r="C8" s="245" t="s">
        <v>15</v>
      </c>
      <c r="D8" s="196">
        <v>78.8</v>
      </c>
      <c r="E8" s="196">
        <v>79.45</v>
      </c>
      <c r="F8" s="196">
        <v>78.38</v>
      </c>
      <c r="G8" s="196">
        <v>79.510000000000005</v>
      </c>
      <c r="H8" s="196">
        <v>79.709999999999994</v>
      </c>
      <c r="I8" s="196">
        <v>79.5</v>
      </c>
      <c r="J8" s="196">
        <v>79.97</v>
      </c>
      <c r="K8" s="196">
        <v>80.14</v>
      </c>
      <c r="L8" s="196">
        <v>80.12</v>
      </c>
      <c r="M8" s="196">
        <v>80.17</v>
      </c>
      <c r="N8" s="196">
        <v>80.17</v>
      </c>
      <c r="O8" s="196">
        <v>80.38</v>
      </c>
      <c r="P8" s="196">
        <v>80.349999999999994</v>
      </c>
      <c r="Q8" s="196">
        <v>79.31</v>
      </c>
      <c r="R8" s="196">
        <v>78.81</v>
      </c>
      <c r="S8" s="196">
        <v>77.599999999999994</v>
      </c>
      <c r="T8" s="196">
        <v>77.599999999999994</v>
      </c>
      <c r="U8" s="196">
        <v>80.650000000000006</v>
      </c>
      <c r="V8" s="196">
        <v>81.81</v>
      </c>
      <c r="W8" s="196">
        <v>81.02</v>
      </c>
      <c r="X8" s="196">
        <v>80.62</v>
      </c>
      <c r="Y8" s="196">
        <v>80.13</v>
      </c>
      <c r="Z8" s="196">
        <v>80.83</v>
      </c>
      <c r="AA8" s="196">
        <v>80.86</v>
      </c>
      <c r="AB8" s="196">
        <v>78.989999999999995</v>
      </c>
      <c r="AC8" s="196">
        <v>80.11</v>
      </c>
      <c r="AD8" s="196">
        <v>79.67</v>
      </c>
      <c r="AE8" s="196">
        <v>79</v>
      </c>
      <c r="AI8" s="135">
        <v>8.6331726773159104E-2</v>
      </c>
      <c r="AJ8" s="135">
        <v>7.3928349554773121E-2</v>
      </c>
      <c r="AK8" s="201" t="s">
        <v>52</v>
      </c>
      <c r="AM8" s="135">
        <v>7.0732639850609694E-2</v>
      </c>
      <c r="AN8" s="135">
        <v>8.0660712100819376E-2</v>
      </c>
      <c r="AO8" s="200" t="s">
        <v>56</v>
      </c>
    </row>
    <row r="9" spans="1:41" x14ac:dyDescent="0.25">
      <c r="A9" s="135">
        <f t="shared" si="0"/>
        <v>1.1906414329619875E-2</v>
      </c>
      <c r="B9" s="135">
        <f t="shared" si="1"/>
        <v>5.4299149126733059E-3</v>
      </c>
      <c r="C9" s="246" t="s">
        <v>18</v>
      </c>
      <c r="D9" s="196">
        <v>12.76</v>
      </c>
      <c r="E9" s="196">
        <v>12.76</v>
      </c>
      <c r="F9" s="196">
        <v>12.76</v>
      </c>
      <c r="G9" s="196">
        <v>12.76</v>
      </c>
      <c r="H9" s="196">
        <v>12.76</v>
      </c>
      <c r="I9" s="196">
        <v>12.76</v>
      </c>
      <c r="J9" s="196">
        <v>12.76</v>
      </c>
      <c r="K9" s="196">
        <v>12.76</v>
      </c>
      <c r="L9" s="196">
        <v>12.76</v>
      </c>
      <c r="M9" s="196">
        <v>12.76</v>
      </c>
      <c r="N9" s="196">
        <v>12.76</v>
      </c>
      <c r="O9" s="196">
        <v>12.76</v>
      </c>
      <c r="P9" s="196">
        <v>12.76</v>
      </c>
      <c r="Q9" s="196">
        <v>12.76</v>
      </c>
      <c r="R9" s="196">
        <v>12.76</v>
      </c>
      <c r="S9" s="196">
        <v>12.76</v>
      </c>
      <c r="T9" s="196">
        <v>12.76</v>
      </c>
      <c r="U9" s="196">
        <v>12.76</v>
      </c>
      <c r="V9" s="196">
        <v>12.76</v>
      </c>
      <c r="W9" s="196">
        <v>12.76</v>
      </c>
      <c r="X9" s="196">
        <v>12.76</v>
      </c>
      <c r="Y9" s="196">
        <v>12.76</v>
      </c>
      <c r="Z9" s="196">
        <v>12.76</v>
      </c>
      <c r="AA9" s="196">
        <v>13.12</v>
      </c>
      <c r="AB9" s="196">
        <v>13.08</v>
      </c>
      <c r="AC9" s="196">
        <v>13.14</v>
      </c>
      <c r="AD9" s="196">
        <v>13.18</v>
      </c>
      <c r="AE9" s="196">
        <v>13.22</v>
      </c>
      <c r="AI9" s="135">
        <v>8.453096947022079E-2</v>
      </c>
      <c r="AJ9" s="135">
        <v>6.9063736263736075E-2</v>
      </c>
      <c r="AK9" s="200" t="s">
        <v>58</v>
      </c>
      <c r="AM9" s="135">
        <v>5.130587473370863E-2</v>
      </c>
      <c r="AN9" s="135">
        <v>7.9913885898815984E-2</v>
      </c>
      <c r="AO9" s="201" t="s">
        <v>45</v>
      </c>
    </row>
    <row r="10" spans="1:41" x14ac:dyDescent="0.25">
      <c r="A10" s="135">
        <f t="shared" si="0"/>
        <v>0.13542080170210422</v>
      </c>
      <c r="B10" s="135">
        <f t="shared" si="1"/>
        <v>0.20153061224489788</v>
      </c>
      <c r="C10" s="246" t="s">
        <v>27</v>
      </c>
      <c r="D10" s="196">
        <v>0.14000000000000001</v>
      </c>
      <c r="E10" s="196">
        <v>0.14000000000000001</v>
      </c>
      <c r="F10" s="196">
        <v>0.14000000000000001</v>
      </c>
      <c r="G10" s="196">
        <v>0.14000000000000001</v>
      </c>
      <c r="H10" s="196">
        <v>0.14000000000000001</v>
      </c>
      <c r="I10" s="196">
        <v>0.14000000000000001</v>
      </c>
      <c r="J10" s="196">
        <v>0.15</v>
      </c>
      <c r="K10" s="196">
        <v>0.15</v>
      </c>
      <c r="L10" s="196">
        <v>0.15</v>
      </c>
      <c r="M10" s="196">
        <v>0.15</v>
      </c>
      <c r="N10" s="196">
        <v>0.15</v>
      </c>
      <c r="O10" s="196">
        <v>0.15</v>
      </c>
      <c r="P10" s="196">
        <v>0.16</v>
      </c>
      <c r="Q10" s="196">
        <v>0.16</v>
      </c>
      <c r="R10" s="196">
        <v>0.17</v>
      </c>
      <c r="S10" s="196">
        <v>0.19</v>
      </c>
      <c r="T10" s="196">
        <v>0.19</v>
      </c>
      <c r="U10" s="196">
        <v>0.2</v>
      </c>
      <c r="V10" s="196">
        <v>0.2</v>
      </c>
      <c r="W10" s="196">
        <v>0.2</v>
      </c>
      <c r="X10" s="196">
        <v>0.19</v>
      </c>
      <c r="Y10" s="196">
        <v>0.19</v>
      </c>
      <c r="Z10" s="196">
        <v>0.19</v>
      </c>
      <c r="AA10" s="196">
        <v>0.19</v>
      </c>
      <c r="AB10" s="196">
        <v>0.19</v>
      </c>
      <c r="AC10" s="196">
        <v>0.19</v>
      </c>
      <c r="AD10" s="196">
        <v>0.18</v>
      </c>
      <c r="AE10" s="196">
        <v>0.18</v>
      </c>
      <c r="AI10" s="135">
        <v>8.4440401962804085E-2</v>
      </c>
      <c r="AJ10" s="135">
        <v>7.570770243581304E-2</v>
      </c>
      <c r="AK10" s="201" t="s">
        <v>46</v>
      </c>
      <c r="AM10" s="135">
        <v>8.4440401962804085E-2</v>
      </c>
      <c r="AN10" s="135">
        <v>7.570770243581304E-2</v>
      </c>
      <c r="AO10" s="201" t="s">
        <v>46</v>
      </c>
    </row>
    <row r="11" spans="1:41" x14ac:dyDescent="0.25">
      <c r="A11" s="135">
        <f t="shared" si="0"/>
        <v>1.6307976096903348E-2</v>
      </c>
      <c r="B11" s="135">
        <f t="shared" si="1"/>
        <v>9.7308488612832811E-3</v>
      </c>
      <c r="C11" s="246" t="s">
        <v>79</v>
      </c>
      <c r="D11" s="196">
        <v>62.1</v>
      </c>
      <c r="E11" s="196">
        <v>62.68</v>
      </c>
      <c r="F11" s="196">
        <v>62</v>
      </c>
      <c r="G11" s="196">
        <v>61.6</v>
      </c>
      <c r="H11" s="196">
        <v>61.4</v>
      </c>
      <c r="I11" s="196">
        <v>61.4</v>
      </c>
      <c r="J11" s="196">
        <v>63.14</v>
      </c>
      <c r="K11" s="196">
        <v>62.92</v>
      </c>
      <c r="L11" s="196">
        <v>62.92</v>
      </c>
      <c r="M11" s="196">
        <v>62.92</v>
      </c>
      <c r="N11" s="196">
        <v>62.92</v>
      </c>
      <c r="O11" s="196">
        <v>62.92</v>
      </c>
      <c r="P11" s="196">
        <v>62.68</v>
      </c>
      <c r="Q11" s="196">
        <v>62.52</v>
      </c>
      <c r="R11" s="196">
        <v>62.52</v>
      </c>
      <c r="S11" s="196">
        <v>62.76</v>
      </c>
      <c r="T11" s="196">
        <v>62.66</v>
      </c>
      <c r="U11" s="196">
        <v>63.1</v>
      </c>
      <c r="V11" s="196">
        <v>62.54</v>
      </c>
      <c r="W11" s="196">
        <v>63.44</v>
      </c>
      <c r="X11" s="196">
        <v>65.5</v>
      </c>
      <c r="Y11" s="196">
        <v>64.56</v>
      </c>
      <c r="Z11" s="196">
        <v>64.260000000000005</v>
      </c>
      <c r="AA11" s="196">
        <v>63.46</v>
      </c>
      <c r="AB11" s="196">
        <v>63.2</v>
      </c>
      <c r="AC11" s="196">
        <v>61.36</v>
      </c>
      <c r="AD11" s="196">
        <v>61.44</v>
      </c>
      <c r="AE11" s="196">
        <v>60.8</v>
      </c>
      <c r="AI11" s="135">
        <v>7.0732639850609694E-2</v>
      </c>
      <c r="AJ11" s="135">
        <v>8.0660712100819376E-2</v>
      </c>
      <c r="AK11" s="200" t="s">
        <v>56</v>
      </c>
      <c r="AM11" s="135">
        <v>5.9520814322748007E-2</v>
      </c>
      <c r="AN11" s="135">
        <v>7.4060742407198843E-2</v>
      </c>
      <c r="AO11" s="199" t="s">
        <v>48</v>
      </c>
    </row>
    <row r="12" spans="1:41" x14ac:dyDescent="0.25">
      <c r="A12" s="135">
        <f t="shared" si="0"/>
        <v>3.3290610123139101E-2</v>
      </c>
      <c r="B12" s="135">
        <f t="shared" si="1"/>
        <v>3.329533325333367E-2</v>
      </c>
      <c r="C12" s="247" t="s">
        <v>25</v>
      </c>
      <c r="D12" s="196">
        <v>226.19</v>
      </c>
      <c r="E12" s="196">
        <v>224.14</v>
      </c>
      <c r="F12" s="196">
        <v>221.9</v>
      </c>
      <c r="G12" s="196">
        <v>223.02</v>
      </c>
      <c r="H12" s="196">
        <v>225.8</v>
      </c>
      <c r="I12" s="196">
        <v>226.76</v>
      </c>
      <c r="J12" s="196">
        <v>227.35</v>
      </c>
      <c r="K12" s="196">
        <v>231.35</v>
      </c>
      <c r="L12" s="196">
        <v>232.14</v>
      </c>
      <c r="M12" s="196">
        <v>232.38</v>
      </c>
      <c r="N12" s="196">
        <v>232.38</v>
      </c>
      <c r="O12" s="196">
        <v>232.52</v>
      </c>
      <c r="P12" s="196">
        <v>232.07</v>
      </c>
      <c r="Q12" s="196">
        <v>232.53</v>
      </c>
      <c r="R12" s="196">
        <v>230.82</v>
      </c>
      <c r="S12" s="196">
        <v>226.5</v>
      </c>
      <c r="T12" s="196">
        <v>226.5</v>
      </c>
      <c r="U12" s="196">
        <v>233.06</v>
      </c>
      <c r="V12" s="196">
        <v>240.93</v>
      </c>
      <c r="W12" s="196">
        <v>241.56</v>
      </c>
      <c r="X12" s="196">
        <v>246.29</v>
      </c>
      <c r="Y12" s="196">
        <v>247.38</v>
      </c>
      <c r="Z12" s="196">
        <v>247.6</v>
      </c>
      <c r="AA12" s="196">
        <v>246.47</v>
      </c>
      <c r="AB12" s="196">
        <v>242.6</v>
      </c>
      <c r="AC12" s="196">
        <v>236.65</v>
      </c>
      <c r="AD12" s="196">
        <v>238.18</v>
      </c>
      <c r="AE12" s="196">
        <v>239.12</v>
      </c>
      <c r="AI12" s="135">
        <v>7.0565797887280984E-2</v>
      </c>
      <c r="AJ12" s="135">
        <v>3.2078826849238906E-2</v>
      </c>
      <c r="AK12" s="201" t="s">
        <v>51</v>
      </c>
      <c r="AM12" s="135">
        <v>8.6331726773159104E-2</v>
      </c>
      <c r="AN12" s="135">
        <v>7.3928349554773121E-2</v>
      </c>
      <c r="AO12" s="201" t="s">
        <v>52</v>
      </c>
    </row>
    <row r="13" spans="1:41" x14ac:dyDescent="0.25">
      <c r="A13" s="135">
        <f t="shared" si="0"/>
        <v>6.7132194400930614E-2</v>
      </c>
      <c r="B13" s="135">
        <f t="shared" si="1"/>
        <v>3.5397405481135902E-2</v>
      </c>
      <c r="C13" s="247" t="s">
        <v>51</v>
      </c>
      <c r="D13" s="196">
        <v>1080.8499999999999</v>
      </c>
      <c r="E13" s="196">
        <v>1092.75</v>
      </c>
      <c r="F13" s="196">
        <v>1070.6300000000001</v>
      </c>
      <c r="G13" s="196">
        <v>1019.5</v>
      </c>
      <c r="H13" s="196">
        <v>1037.96</v>
      </c>
      <c r="I13" s="196">
        <v>1036.31</v>
      </c>
      <c r="J13" s="196">
        <v>1056.02</v>
      </c>
      <c r="K13" s="196">
        <v>1062.53</v>
      </c>
      <c r="L13" s="196">
        <v>1061.8399999999999</v>
      </c>
      <c r="M13" s="196">
        <v>1065.52</v>
      </c>
      <c r="N13" s="196">
        <v>1065.52</v>
      </c>
      <c r="O13" s="196">
        <v>1072.75</v>
      </c>
      <c r="P13" s="196">
        <v>1065.99</v>
      </c>
      <c r="Q13" s="196">
        <v>1072.1400000000001</v>
      </c>
      <c r="R13" s="196">
        <v>1069.8599999999999</v>
      </c>
      <c r="S13" s="196">
        <v>1163.78</v>
      </c>
      <c r="T13" s="196">
        <v>1163.78</v>
      </c>
      <c r="U13" s="196">
        <v>1228.19</v>
      </c>
      <c r="V13" s="196">
        <v>1242.19</v>
      </c>
      <c r="W13" s="196">
        <v>1228.47</v>
      </c>
      <c r="X13" s="196">
        <v>1194.32</v>
      </c>
      <c r="Y13" s="196">
        <v>1273.8800000000001</v>
      </c>
      <c r="Z13" s="196">
        <v>1266.8800000000001</v>
      </c>
      <c r="AA13" s="196">
        <v>1093.8</v>
      </c>
      <c r="AB13" s="196">
        <v>1102.5999999999999</v>
      </c>
      <c r="AC13" s="196">
        <v>1130.4000000000001</v>
      </c>
      <c r="AD13" s="196">
        <v>1149.4000000000001</v>
      </c>
      <c r="AE13" s="196">
        <v>1167.2</v>
      </c>
      <c r="AI13" s="135">
        <v>6.4650026656045897E-2</v>
      </c>
      <c r="AJ13" s="135">
        <v>4.1606118546845039E-2</v>
      </c>
      <c r="AK13" s="201" t="s">
        <v>54</v>
      </c>
      <c r="AM13" s="135">
        <v>9.6702702957767839E-2</v>
      </c>
      <c r="AN13" s="135">
        <v>7.1150684931506891E-2</v>
      </c>
      <c r="AO13" s="201" t="s">
        <v>90</v>
      </c>
    </row>
    <row r="14" spans="1:41" x14ac:dyDescent="0.25">
      <c r="A14" s="135">
        <f t="shared" si="0"/>
        <v>5.9733435220800928E-2</v>
      </c>
      <c r="B14" s="135">
        <f t="shared" si="1"/>
        <v>9.3175527378971834E-2</v>
      </c>
      <c r="C14" s="246" t="s">
        <v>45</v>
      </c>
      <c r="D14" s="196">
        <v>204.38</v>
      </c>
      <c r="E14" s="196">
        <v>205.57</v>
      </c>
      <c r="F14" s="196">
        <v>206.04</v>
      </c>
      <c r="G14" s="196">
        <v>207.46</v>
      </c>
      <c r="H14" s="196">
        <v>208.05</v>
      </c>
      <c r="I14" s="196">
        <v>208.27</v>
      </c>
      <c r="J14" s="196">
        <v>214.08</v>
      </c>
      <c r="K14" s="196">
        <v>216.3</v>
      </c>
      <c r="L14" s="196">
        <v>216.85</v>
      </c>
      <c r="M14" s="196">
        <v>218.16</v>
      </c>
      <c r="N14" s="196">
        <v>218.16</v>
      </c>
      <c r="O14" s="196">
        <v>216.44</v>
      </c>
      <c r="P14" s="196">
        <v>217.25</v>
      </c>
      <c r="Q14" s="196">
        <v>218.5</v>
      </c>
      <c r="R14" s="196">
        <v>217.12</v>
      </c>
      <c r="S14" s="196">
        <v>227.77</v>
      </c>
      <c r="T14" s="196">
        <v>227.77</v>
      </c>
      <c r="U14" s="196">
        <v>228.13</v>
      </c>
      <c r="V14" s="196">
        <v>229.84</v>
      </c>
      <c r="W14" s="196">
        <v>228.12</v>
      </c>
      <c r="X14" s="196">
        <v>227.38</v>
      </c>
      <c r="Y14" s="196">
        <v>234.53</v>
      </c>
      <c r="Z14" s="196">
        <v>237.29</v>
      </c>
      <c r="AA14" s="196">
        <v>239.81</v>
      </c>
      <c r="AB14" s="196">
        <v>244.55</v>
      </c>
      <c r="AC14" s="196">
        <v>242.61</v>
      </c>
      <c r="AD14" s="196">
        <v>247.74</v>
      </c>
      <c r="AE14" s="196">
        <v>247.68</v>
      </c>
      <c r="AI14" s="135">
        <v>6.3461826794614859E-2</v>
      </c>
      <c r="AJ14" s="135">
        <v>5.79641052448161E-2</v>
      </c>
      <c r="AK14" s="201" t="s">
        <v>47</v>
      </c>
      <c r="AM14" s="135">
        <v>8.453096947022079E-2</v>
      </c>
      <c r="AN14" s="135">
        <v>6.9063736263736075E-2</v>
      </c>
      <c r="AO14" s="200" t="s">
        <v>58</v>
      </c>
    </row>
    <row r="15" spans="1:41" x14ac:dyDescent="0.25">
      <c r="A15" s="135">
        <f t="shared" si="0"/>
        <v>8.9054134770417223E-2</v>
      </c>
      <c r="B15" s="135">
        <f t="shared" si="1"/>
        <v>9.1209755791717528E-2</v>
      </c>
      <c r="C15" s="246" t="s">
        <v>46</v>
      </c>
      <c r="D15" s="196">
        <v>91.14</v>
      </c>
      <c r="E15" s="196">
        <v>91.21</v>
      </c>
      <c r="F15" s="196">
        <v>89.65</v>
      </c>
      <c r="G15" s="196">
        <v>90.36</v>
      </c>
      <c r="H15" s="196">
        <v>92.22</v>
      </c>
      <c r="I15" s="196">
        <v>91.89</v>
      </c>
      <c r="J15" s="196">
        <v>93.45</v>
      </c>
      <c r="K15" s="196">
        <v>92.61</v>
      </c>
      <c r="L15" s="196">
        <v>93.03</v>
      </c>
      <c r="M15" s="196">
        <v>93.3</v>
      </c>
      <c r="N15" s="196">
        <v>93.37</v>
      </c>
      <c r="O15" s="196">
        <v>94.25</v>
      </c>
      <c r="P15" s="196">
        <v>94.25</v>
      </c>
      <c r="Q15" s="196">
        <v>93.09</v>
      </c>
      <c r="R15" s="196">
        <v>92.7</v>
      </c>
      <c r="S15" s="196">
        <v>96.3</v>
      </c>
      <c r="T15" s="196">
        <v>96.31</v>
      </c>
      <c r="U15" s="196">
        <v>101.19</v>
      </c>
      <c r="V15" s="196">
        <v>103.55</v>
      </c>
      <c r="W15" s="196">
        <v>104.43</v>
      </c>
      <c r="X15" s="196">
        <v>110.54</v>
      </c>
      <c r="Y15" s="196">
        <v>111.71</v>
      </c>
      <c r="Z15" s="196">
        <v>114.01</v>
      </c>
      <c r="AA15" s="196">
        <v>114.13</v>
      </c>
      <c r="AB15" s="196">
        <v>112.31</v>
      </c>
      <c r="AC15" s="196">
        <v>109.85</v>
      </c>
      <c r="AD15" s="196">
        <v>110.42</v>
      </c>
      <c r="AE15" s="196">
        <v>113.41</v>
      </c>
      <c r="AI15" s="135">
        <v>5.9520814322748007E-2</v>
      </c>
      <c r="AJ15" s="135">
        <v>7.4060742407198843E-2</v>
      </c>
      <c r="AK15" s="199" t="s">
        <v>48</v>
      </c>
      <c r="AM15" s="135">
        <v>6.3461826794614859E-2</v>
      </c>
      <c r="AN15" s="135">
        <v>5.79641052448161E-2</v>
      </c>
      <c r="AO15" s="201" t="s">
        <v>47</v>
      </c>
    </row>
    <row r="16" spans="1:41" x14ac:dyDescent="0.25">
      <c r="A16" s="135">
        <f>_xlfn.STDEV.S(D16:AF16)/AVERAGE(D16:AF16)</f>
        <v>2.8758857514976463E-2</v>
      </c>
      <c r="B16" s="135">
        <f>AVERAGE(D16:AF16)/D16-1</f>
        <v>4.6465773809523769E-2</v>
      </c>
      <c r="C16" s="248" t="s">
        <v>37</v>
      </c>
      <c r="D16" s="196">
        <v>19.2</v>
      </c>
      <c r="E16" s="196">
        <v>19.46</v>
      </c>
      <c r="F16" s="196">
        <v>19.3</v>
      </c>
      <c r="G16" s="196">
        <v>19.190000000000001</v>
      </c>
      <c r="H16" s="196">
        <v>19.57</v>
      </c>
      <c r="I16" s="196">
        <v>19.57</v>
      </c>
      <c r="J16" s="196">
        <v>19.77</v>
      </c>
      <c r="K16" s="196">
        <v>19.77</v>
      </c>
      <c r="L16" s="196">
        <v>19.77</v>
      </c>
      <c r="M16" s="196">
        <v>19.75</v>
      </c>
      <c r="N16" s="196">
        <v>19.75</v>
      </c>
      <c r="O16" s="196">
        <v>19.75</v>
      </c>
      <c r="P16" s="196">
        <v>19.79</v>
      </c>
      <c r="Q16" s="196">
        <v>20.079999999999998</v>
      </c>
      <c r="R16" s="196">
        <v>20.05</v>
      </c>
      <c r="S16" s="196">
        <v>20.38</v>
      </c>
      <c r="T16" s="196">
        <v>20.51</v>
      </c>
      <c r="U16" s="196">
        <v>20.62</v>
      </c>
      <c r="V16" s="196">
        <v>20.350000000000001</v>
      </c>
      <c r="W16" s="196">
        <v>19.87</v>
      </c>
      <c r="X16" s="196">
        <v>20.07</v>
      </c>
      <c r="Y16" s="196">
        <v>20.45</v>
      </c>
      <c r="Z16" s="196">
        <v>20.65</v>
      </c>
      <c r="AA16" s="196">
        <v>20.93</v>
      </c>
      <c r="AB16" s="196">
        <v>21.01</v>
      </c>
      <c r="AC16" s="196">
        <v>21.11</v>
      </c>
      <c r="AD16" s="196">
        <v>20.91</v>
      </c>
      <c r="AE16" s="196">
        <v>20.95</v>
      </c>
      <c r="AI16" s="135">
        <v>5.7911059923756343E-2</v>
      </c>
      <c r="AJ16" s="135">
        <v>8.3696124031007679E-2</v>
      </c>
      <c r="AK16" s="201" t="s">
        <v>40</v>
      </c>
      <c r="AM16" s="135">
        <v>3.1598814518014932E-2</v>
      </c>
      <c r="AN16" s="135">
        <v>5.254256656382128E-2</v>
      </c>
      <c r="AO16" s="199" t="s">
        <v>87</v>
      </c>
    </row>
    <row r="17" spans="1:41" x14ac:dyDescent="0.25">
      <c r="A17" s="135">
        <f t="shared" si="0"/>
        <v>1.1511798424893494E-2</v>
      </c>
      <c r="B17" s="135">
        <f t="shared" si="1"/>
        <v>3.9705882352941035E-2</v>
      </c>
      <c r="C17" s="246" t="s">
        <v>73</v>
      </c>
      <c r="D17" s="196">
        <v>13.6</v>
      </c>
      <c r="E17" s="196">
        <v>13.94</v>
      </c>
      <c r="F17" s="196">
        <v>14.01</v>
      </c>
      <c r="G17" s="196">
        <v>14.12</v>
      </c>
      <c r="H17" s="196">
        <v>14.21</v>
      </c>
      <c r="I17" s="196">
        <v>14.21</v>
      </c>
      <c r="J17" s="196">
        <v>14.26</v>
      </c>
      <c r="K17" s="196">
        <v>14.21</v>
      </c>
      <c r="L17" s="196">
        <v>14.21</v>
      </c>
      <c r="M17" s="196">
        <v>14.08</v>
      </c>
      <c r="N17" s="196">
        <v>14.08</v>
      </c>
      <c r="O17" s="196">
        <v>14.08</v>
      </c>
      <c r="P17" s="196">
        <v>14.08</v>
      </c>
      <c r="Q17" s="196">
        <v>14.23</v>
      </c>
      <c r="R17" s="196">
        <v>14.15</v>
      </c>
      <c r="S17" s="196">
        <v>14.48</v>
      </c>
      <c r="T17" s="196">
        <v>14.22</v>
      </c>
      <c r="U17" s="196">
        <v>14.22</v>
      </c>
      <c r="V17" s="196">
        <v>14.2</v>
      </c>
      <c r="W17" s="196">
        <v>13.83</v>
      </c>
      <c r="X17" s="196">
        <v>14.09</v>
      </c>
      <c r="Y17" s="196">
        <v>14.09</v>
      </c>
      <c r="Z17" s="196">
        <v>14.1</v>
      </c>
      <c r="AA17" s="196">
        <v>14.21</v>
      </c>
      <c r="AB17" s="196">
        <v>14.19</v>
      </c>
      <c r="AC17" s="196">
        <v>14.37</v>
      </c>
      <c r="AD17" s="196">
        <v>14.21</v>
      </c>
      <c r="AE17" s="196">
        <v>14.24</v>
      </c>
      <c r="AI17" s="135">
        <v>5.3121049195975704E-2</v>
      </c>
      <c r="AJ17" s="135">
        <v>3.6316085372201989E-2</v>
      </c>
      <c r="AK17" s="201" t="s">
        <v>55</v>
      </c>
      <c r="AM17" s="135">
        <v>1.7364008026321747E-2</v>
      </c>
      <c r="AN17" s="135">
        <v>5.0685483870968051E-2</v>
      </c>
      <c r="AO17" s="201" t="s">
        <v>32</v>
      </c>
    </row>
    <row r="18" spans="1:41" x14ac:dyDescent="0.25">
      <c r="A18" s="135">
        <f t="shared" si="0"/>
        <v>8.8054380070943503E-2</v>
      </c>
      <c r="B18" s="135">
        <f t="shared" si="1"/>
        <v>8.3437990580847776E-2</v>
      </c>
      <c r="C18" s="246" t="s">
        <v>58</v>
      </c>
      <c r="D18" s="196">
        <v>22.75</v>
      </c>
      <c r="E18" s="196">
        <v>22.75</v>
      </c>
      <c r="F18" s="196">
        <v>22.82</v>
      </c>
      <c r="G18" s="196">
        <v>22.21</v>
      </c>
      <c r="H18" s="196">
        <v>22.35</v>
      </c>
      <c r="I18" s="196">
        <v>22.35</v>
      </c>
      <c r="J18" s="196">
        <v>23.1</v>
      </c>
      <c r="K18" s="196">
        <v>23.99</v>
      </c>
      <c r="L18" s="196">
        <v>22.98</v>
      </c>
      <c r="M18" s="196">
        <v>22.92</v>
      </c>
      <c r="N18" s="196">
        <v>23.54</v>
      </c>
      <c r="O18" s="196">
        <v>23.5</v>
      </c>
      <c r="P18" s="196">
        <v>23.13</v>
      </c>
      <c r="Q18" s="196">
        <v>23.67</v>
      </c>
      <c r="R18" s="196">
        <v>22.91</v>
      </c>
      <c r="S18" s="196">
        <v>23.43</v>
      </c>
      <c r="T18" s="196">
        <v>23.43</v>
      </c>
      <c r="U18" s="196">
        <v>25</v>
      </c>
      <c r="V18" s="196">
        <v>25.74</v>
      </c>
      <c r="W18" s="196">
        <v>25.9</v>
      </c>
      <c r="X18" s="196">
        <v>27.4</v>
      </c>
      <c r="Y18" s="196">
        <v>27.93</v>
      </c>
      <c r="Z18" s="196">
        <v>28.4</v>
      </c>
      <c r="AA18" s="196">
        <v>27.83</v>
      </c>
      <c r="AB18" s="196">
        <v>28</v>
      </c>
      <c r="AC18" s="196">
        <v>27.01</v>
      </c>
      <c r="AD18" s="196">
        <v>27.01</v>
      </c>
      <c r="AE18" s="196">
        <v>28.1</v>
      </c>
      <c r="AI18" s="135">
        <v>5.130587473370863E-2</v>
      </c>
      <c r="AJ18" s="135">
        <v>7.9913885898815984E-2</v>
      </c>
      <c r="AK18" s="201" t="s">
        <v>45</v>
      </c>
      <c r="AM18" s="135">
        <v>8.9025113932893668E-2</v>
      </c>
      <c r="AN18" s="135">
        <v>4.9855907780980147E-2</v>
      </c>
      <c r="AO18" s="201" t="s">
        <v>41</v>
      </c>
    </row>
    <row r="19" spans="1:41" x14ac:dyDescent="0.25">
      <c r="A19" s="135">
        <f t="shared" si="0"/>
        <v>1.8722123404927078E-2</v>
      </c>
      <c r="B19" s="135">
        <f t="shared" si="1"/>
        <v>5.3823444700461076E-2</v>
      </c>
      <c r="C19" s="246" t="s">
        <v>32</v>
      </c>
      <c r="D19" s="196">
        <v>9.92</v>
      </c>
      <c r="E19" s="196">
        <v>10.09</v>
      </c>
      <c r="F19" s="196">
        <v>10.16</v>
      </c>
      <c r="G19" s="196">
        <v>10.31</v>
      </c>
      <c r="H19" s="196">
        <v>10.4</v>
      </c>
      <c r="I19" s="196">
        <v>10.4</v>
      </c>
      <c r="J19" s="196">
        <v>10.41</v>
      </c>
      <c r="K19" s="196">
        <v>10.43</v>
      </c>
      <c r="L19" s="196">
        <v>10.43</v>
      </c>
      <c r="M19" s="196">
        <v>10.39</v>
      </c>
      <c r="N19" s="196">
        <v>10.39</v>
      </c>
      <c r="O19" s="196">
        <v>10.39</v>
      </c>
      <c r="P19" s="196">
        <v>10.36</v>
      </c>
      <c r="Q19" s="196">
        <v>10.43</v>
      </c>
      <c r="R19" s="196">
        <v>10.45</v>
      </c>
      <c r="S19" s="196">
        <v>10.63</v>
      </c>
      <c r="T19" s="196">
        <v>10.46</v>
      </c>
      <c r="U19" s="196">
        <v>10.62</v>
      </c>
      <c r="V19" s="196">
        <v>10.54</v>
      </c>
      <c r="W19" s="196">
        <v>10.33</v>
      </c>
      <c r="X19" s="196">
        <v>10.45</v>
      </c>
      <c r="Y19" s="196">
        <v>10.52</v>
      </c>
      <c r="Z19" s="196">
        <v>10.62</v>
      </c>
      <c r="AA19" s="196">
        <v>10.71</v>
      </c>
      <c r="AB19" s="196">
        <v>10.73</v>
      </c>
      <c r="AC19" s="196">
        <v>10.82</v>
      </c>
      <c r="AD19" s="196">
        <v>10.61</v>
      </c>
      <c r="AE19" s="196">
        <v>10.71</v>
      </c>
      <c r="AI19" s="135">
        <v>4.9051077377578377E-2</v>
      </c>
      <c r="AJ19" s="135">
        <v>1.0513595166163237E-2</v>
      </c>
      <c r="AK19" s="201" t="s">
        <v>92</v>
      </c>
      <c r="AM19" s="135">
        <v>3.1327462096308149E-2</v>
      </c>
      <c r="AN19" s="135">
        <v>4.9267421083978524E-2</v>
      </c>
      <c r="AO19" s="199" t="s">
        <v>17</v>
      </c>
    </row>
    <row r="20" spans="1:41" x14ac:dyDescent="0.25">
      <c r="A20" s="135">
        <f t="shared" si="0"/>
        <v>8.7225651659705011E-3</v>
      </c>
      <c r="B20" s="135">
        <f t="shared" si="1"/>
        <v>-2.8344671201810945E-3</v>
      </c>
      <c r="C20" s="246" t="s">
        <v>86</v>
      </c>
      <c r="D20" s="196">
        <v>0.63</v>
      </c>
      <c r="E20" s="196">
        <v>0.62</v>
      </c>
      <c r="F20" s="196">
        <v>0.62</v>
      </c>
      <c r="G20" s="196">
        <v>0.62</v>
      </c>
      <c r="H20" s="196">
        <v>0.63</v>
      </c>
      <c r="I20" s="196">
        <v>0.63</v>
      </c>
      <c r="J20" s="196">
        <v>0.63</v>
      </c>
      <c r="K20" s="196">
        <v>0.63</v>
      </c>
      <c r="L20" s="196">
        <v>0.63</v>
      </c>
      <c r="M20" s="196">
        <v>0.63</v>
      </c>
      <c r="N20" s="196">
        <v>0.63</v>
      </c>
      <c r="O20" s="196">
        <v>0.63</v>
      </c>
      <c r="P20" s="196">
        <v>0.63</v>
      </c>
      <c r="Q20" s="196">
        <v>0.63</v>
      </c>
      <c r="R20" s="196">
        <v>0.63</v>
      </c>
      <c r="S20" s="196">
        <v>0.62</v>
      </c>
      <c r="T20" s="196">
        <v>0.62</v>
      </c>
      <c r="U20" s="196">
        <v>0.63</v>
      </c>
      <c r="V20" s="196">
        <v>0.63</v>
      </c>
      <c r="W20" s="196">
        <v>0.63</v>
      </c>
      <c r="X20" s="196">
        <v>0.63</v>
      </c>
      <c r="Y20" s="196">
        <v>0.63</v>
      </c>
      <c r="Z20" s="196">
        <v>0.64</v>
      </c>
      <c r="AA20" s="196">
        <v>0.64</v>
      </c>
      <c r="AB20" s="196">
        <v>0.63</v>
      </c>
      <c r="AC20" s="196">
        <v>0.62</v>
      </c>
      <c r="AD20" s="196">
        <v>0.63</v>
      </c>
      <c r="AE20" s="196">
        <v>0.62</v>
      </c>
      <c r="AI20" s="135">
        <v>4.5898536475461237E-2</v>
      </c>
      <c r="AJ20" s="135">
        <v>3.8937962202136411E-2</v>
      </c>
      <c r="AK20" s="199" t="s">
        <v>24</v>
      </c>
      <c r="AM20" s="135">
        <v>2.0155026739526717E-2</v>
      </c>
      <c r="AN20" s="135">
        <v>4.7268951194184838E-2</v>
      </c>
      <c r="AO20" s="201" t="s">
        <v>36</v>
      </c>
    </row>
    <row r="21" spans="1:41" x14ac:dyDescent="0.25">
      <c r="A21" s="135">
        <f>_xlfn.STDEV.S(D21:AF21)/AVERAGE(D21:AF21)</f>
        <v>2.0985687250346888E-2</v>
      </c>
      <c r="B21" s="135">
        <f>AVERAGE(D21:AF21)/D21-1</f>
        <v>2.7757879656160611E-2</v>
      </c>
      <c r="C21" s="246" t="s">
        <v>14</v>
      </c>
      <c r="D21" s="196">
        <v>13.96</v>
      </c>
      <c r="E21" s="196">
        <v>13.88</v>
      </c>
      <c r="F21" s="196">
        <v>14.1</v>
      </c>
      <c r="G21" s="196">
        <v>14.33</v>
      </c>
      <c r="H21" s="196">
        <v>14.35</v>
      </c>
      <c r="I21" s="196">
        <v>14.35</v>
      </c>
      <c r="J21" s="196">
        <v>14.28</v>
      </c>
      <c r="K21" s="196">
        <v>14.46</v>
      </c>
      <c r="L21" s="196">
        <v>14.46</v>
      </c>
      <c r="M21" s="196">
        <v>14.35</v>
      </c>
      <c r="N21" s="196">
        <v>14.35</v>
      </c>
      <c r="O21" s="196">
        <v>14.35</v>
      </c>
      <c r="P21" s="196">
        <v>14.6</v>
      </c>
      <c r="Q21" s="196">
        <v>14.65</v>
      </c>
      <c r="R21" s="196">
        <v>14.8</v>
      </c>
      <c r="S21" s="196">
        <v>14.52</v>
      </c>
      <c r="T21" s="196">
        <v>14.74</v>
      </c>
      <c r="U21" s="196">
        <v>14.7</v>
      </c>
      <c r="V21" s="196">
        <v>14.7</v>
      </c>
      <c r="W21" s="196">
        <v>14.6</v>
      </c>
      <c r="X21" s="196">
        <v>14.66</v>
      </c>
      <c r="Y21" s="196">
        <v>14.62</v>
      </c>
      <c r="Z21" s="196">
        <v>14.28</v>
      </c>
      <c r="AA21" s="196">
        <v>14.04</v>
      </c>
      <c r="AB21" s="196">
        <v>13.98</v>
      </c>
      <c r="AC21" s="196">
        <v>13.69</v>
      </c>
      <c r="AD21" s="196">
        <v>13.95</v>
      </c>
      <c r="AE21" s="196">
        <v>13.98</v>
      </c>
      <c r="AI21" s="135">
        <v>4.4584521043454568E-2</v>
      </c>
      <c r="AJ21" s="135">
        <v>-0.12541696529720492</v>
      </c>
      <c r="AK21" s="201" t="s">
        <v>220</v>
      </c>
      <c r="AM21" s="135">
        <v>2.0327902622794589E-2</v>
      </c>
      <c r="AN21" s="135">
        <v>4.7233115468409359E-2</v>
      </c>
      <c r="AO21" s="201" t="s">
        <v>75</v>
      </c>
    </row>
    <row r="22" spans="1:41" x14ac:dyDescent="0.25">
      <c r="A22" s="135">
        <f t="shared" si="0"/>
        <v>2.7250361338261579E-2</v>
      </c>
      <c r="B22" s="135">
        <f t="shared" si="1"/>
        <v>-6.5052384914503047E-2</v>
      </c>
      <c r="C22" s="247" t="s">
        <v>89</v>
      </c>
      <c r="D22" s="196">
        <v>504.78</v>
      </c>
      <c r="E22" s="196">
        <v>499.1</v>
      </c>
      <c r="F22" s="196">
        <v>486.2</v>
      </c>
      <c r="G22" s="196">
        <v>474</v>
      </c>
      <c r="H22" s="196">
        <v>477.68</v>
      </c>
      <c r="I22" s="196">
        <v>477.26</v>
      </c>
      <c r="J22" s="196">
        <v>481.28</v>
      </c>
      <c r="K22" s="196">
        <v>475.54</v>
      </c>
      <c r="L22" s="196">
        <v>478.84</v>
      </c>
      <c r="M22" s="196">
        <v>477.11</v>
      </c>
      <c r="N22" s="196">
        <v>477.11</v>
      </c>
      <c r="O22" s="196">
        <v>481.19</v>
      </c>
      <c r="P22" s="196">
        <v>475.91</v>
      </c>
      <c r="Q22" s="196">
        <v>475.63</v>
      </c>
      <c r="R22" s="196">
        <v>468.76</v>
      </c>
      <c r="S22" s="196">
        <v>453.58</v>
      </c>
      <c r="T22" s="196">
        <v>453.58</v>
      </c>
      <c r="U22" s="196">
        <v>456.55</v>
      </c>
      <c r="V22" s="196">
        <v>458.32</v>
      </c>
      <c r="W22" s="196">
        <v>478.91</v>
      </c>
      <c r="X22" s="196">
        <v>463.87</v>
      </c>
      <c r="Y22" s="196">
        <v>470.61</v>
      </c>
      <c r="Z22" s="196">
        <v>464</v>
      </c>
      <c r="AA22" s="196">
        <v>466.99</v>
      </c>
      <c r="AB22" s="196">
        <v>468.02</v>
      </c>
      <c r="AC22" s="196">
        <v>460.7</v>
      </c>
      <c r="AD22" s="196">
        <v>455</v>
      </c>
      <c r="AE22" s="196">
        <v>453.88</v>
      </c>
      <c r="AI22" s="135">
        <v>4.2239563379894318E-2</v>
      </c>
      <c r="AJ22" s="135">
        <v>3.1485943775100722E-2</v>
      </c>
      <c r="AK22" s="201" t="s">
        <v>42</v>
      </c>
      <c r="AM22" s="135">
        <v>4.2162689827300009E-2</v>
      </c>
      <c r="AN22" s="135">
        <v>4.6410684474123443E-2</v>
      </c>
      <c r="AO22" s="199" t="s">
        <v>39</v>
      </c>
    </row>
    <row r="23" spans="1:41" x14ac:dyDescent="0.25">
      <c r="A23" s="135">
        <f t="shared" si="0"/>
        <v>5.3091975883064253E-2</v>
      </c>
      <c r="B23" s="135">
        <f t="shared" si="1"/>
        <v>-7.8170254403131301E-2</v>
      </c>
      <c r="C23" s="247" t="s">
        <v>94</v>
      </c>
      <c r="D23" s="196">
        <v>146</v>
      </c>
      <c r="E23" s="196">
        <v>144</v>
      </c>
      <c r="F23" s="196">
        <v>139.35</v>
      </c>
      <c r="G23" s="196">
        <v>137.58000000000001</v>
      </c>
      <c r="H23" s="196">
        <v>137.65</v>
      </c>
      <c r="I23" s="196">
        <v>138.29</v>
      </c>
      <c r="J23" s="196">
        <v>140.38999999999999</v>
      </c>
      <c r="K23" s="196">
        <v>140.57</v>
      </c>
      <c r="L23" s="196">
        <v>141.22999999999999</v>
      </c>
      <c r="M23" s="196">
        <v>138.04</v>
      </c>
      <c r="N23" s="196">
        <v>138.04</v>
      </c>
      <c r="O23" s="196">
        <v>138.31</v>
      </c>
      <c r="P23" s="196">
        <v>137.94</v>
      </c>
      <c r="Q23" s="196">
        <v>137.47999999999999</v>
      </c>
      <c r="R23" s="196">
        <v>135.99</v>
      </c>
      <c r="S23" s="196">
        <v>133.77000000000001</v>
      </c>
      <c r="T23" s="196">
        <v>133.77000000000001</v>
      </c>
      <c r="U23" s="196">
        <v>133.63999999999999</v>
      </c>
      <c r="V23" s="196">
        <v>137.1</v>
      </c>
      <c r="W23" s="196">
        <v>141.44</v>
      </c>
      <c r="X23" s="196">
        <v>130.68</v>
      </c>
      <c r="Y23" s="196">
        <v>125.49</v>
      </c>
      <c r="Z23" s="196">
        <v>127.33</v>
      </c>
      <c r="AA23" s="196">
        <v>126.57</v>
      </c>
      <c r="AB23" s="196">
        <v>125.5</v>
      </c>
      <c r="AC23" s="196">
        <v>122.41</v>
      </c>
      <c r="AD23" s="196">
        <v>120.86</v>
      </c>
      <c r="AE23" s="196">
        <v>119.02</v>
      </c>
      <c r="AI23" s="135">
        <v>4.2162689827300009E-2</v>
      </c>
      <c r="AJ23" s="135">
        <v>4.6410684474123443E-2</v>
      </c>
      <c r="AK23" s="199" t="s">
        <v>39</v>
      </c>
      <c r="AM23" s="135">
        <v>3.4007280211663632E-2</v>
      </c>
      <c r="AN23" s="135">
        <v>4.4774774774774651E-2</v>
      </c>
      <c r="AO23" s="201" t="s">
        <v>21</v>
      </c>
    </row>
    <row r="24" spans="1:41" x14ac:dyDescent="0.25">
      <c r="A24" s="135">
        <f>_xlfn.STDEV.S(D24:AF24)/AVERAGE(D24:AF24)</f>
        <v>2.4180992203035975E-2</v>
      </c>
      <c r="B24" s="135">
        <f>AVERAGE(D24:AF24)/D24-1</f>
        <v>4.5810729355033386E-2</v>
      </c>
      <c r="C24" s="246" t="s">
        <v>53</v>
      </c>
      <c r="D24" s="196">
        <v>35.549999999999997</v>
      </c>
      <c r="E24" s="196">
        <v>36.15</v>
      </c>
      <c r="F24" s="196">
        <v>35.799999999999997</v>
      </c>
      <c r="G24" s="196">
        <v>36.65</v>
      </c>
      <c r="H24" s="196">
        <v>37</v>
      </c>
      <c r="I24" s="196">
        <v>37</v>
      </c>
      <c r="J24" s="196">
        <v>37.75</v>
      </c>
      <c r="K24" s="196">
        <v>37.1</v>
      </c>
      <c r="L24" s="196">
        <v>37.1</v>
      </c>
      <c r="M24" s="196">
        <v>36.65</v>
      </c>
      <c r="N24" s="196">
        <v>36.65</v>
      </c>
      <c r="O24" s="196">
        <v>36.65</v>
      </c>
      <c r="P24" s="196">
        <v>36.950000000000003</v>
      </c>
      <c r="Q24" s="196">
        <v>37</v>
      </c>
      <c r="R24" s="196">
        <v>36.65</v>
      </c>
      <c r="S24" s="196">
        <v>38.15</v>
      </c>
      <c r="T24" s="196">
        <v>37.950000000000003</v>
      </c>
      <c r="U24" s="196">
        <v>37.65</v>
      </c>
      <c r="V24" s="196">
        <v>38.15</v>
      </c>
      <c r="W24" s="196">
        <v>38.35</v>
      </c>
      <c r="X24" s="196">
        <v>38.299999999999997</v>
      </c>
      <c r="Y24" s="196">
        <v>37</v>
      </c>
      <c r="Z24" s="196">
        <v>36.5</v>
      </c>
      <c r="AA24" s="196">
        <v>36.35</v>
      </c>
      <c r="AB24" s="196">
        <v>36.15</v>
      </c>
      <c r="AC24" s="196">
        <v>38.1</v>
      </c>
      <c r="AD24" s="196">
        <v>39.25</v>
      </c>
      <c r="AE24" s="196">
        <v>38.450000000000003</v>
      </c>
      <c r="AI24" s="135">
        <v>4.2134495230667E-2</v>
      </c>
      <c r="AJ24" s="135">
        <v>0.11872170439414131</v>
      </c>
      <c r="AK24" s="200" t="s">
        <v>44</v>
      </c>
      <c r="AM24" s="135">
        <v>6.4650026656045897E-2</v>
      </c>
      <c r="AN24" s="135">
        <v>4.1606118546845039E-2</v>
      </c>
      <c r="AO24" s="201" t="s">
        <v>54</v>
      </c>
    </row>
    <row r="25" spans="1:41" x14ac:dyDescent="0.25">
      <c r="A25" s="135">
        <f>_xlfn.STDEV.S(D25:AF25)/AVERAGE(D25:AF25)</f>
        <v>5.1570024243392746E-3</v>
      </c>
      <c r="B25" s="135">
        <f>AVERAGE(D25:AF25)/D25-1</f>
        <v>7.7452667814112974E-3</v>
      </c>
      <c r="C25" s="246" t="s">
        <v>69</v>
      </c>
      <c r="D25" s="196">
        <v>18.260000000000002</v>
      </c>
      <c r="E25" s="196">
        <v>18.28</v>
      </c>
      <c r="F25" s="196">
        <v>18.32</v>
      </c>
      <c r="G25" s="196">
        <v>18.32</v>
      </c>
      <c r="H25" s="196">
        <v>18.48</v>
      </c>
      <c r="I25" s="196">
        <v>18.48</v>
      </c>
      <c r="J25" s="196">
        <v>18.48</v>
      </c>
      <c r="K25" s="196">
        <v>18.38</v>
      </c>
      <c r="L25" s="196">
        <v>18.38</v>
      </c>
      <c r="M25" s="196">
        <v>18.38</v>
      </c>
      <c r="N25" s="196">
        <v>18.38</v>
      </c>
      <c r="O25" s="196">
        <v>18.38</v>
      </c>
      <c r="P25" s="196">
        <v>18.46</v>
      </c>
      <c r="Q25" s="196">
        <v>18.5</v>
      </c>
      <c r="R25" s="196">
        <v>18.420000000000002</v>
      </c>
      <c r="S25" s="196">
        <v>18.46</v>
      </c>
      <c r="T25" s="196">
        <v>18.420000000000002</v>
      </c>
      <c r="U25" s="196">
        <v>18.559999999999999</v>
      </c>
      <c r="V25" s="196">
        <v>18.5</v>
      </c>
      <c r="W25" s="196">
        <v>18.66</v>
      </c>
      <c r="X25" s="196">
        <v>18.46</v>
      </c>
      <c r="Y25" s="196">
        <v>18.28</v>
      </c>
      <c r="Z25" s="196">
        <v>18.34</v>
      </c>
      <c r="AA25" s="196">
        <v>18.32</v>
      </c>
      <c r="AB25" s="196">
        <v>18.28</v>
      </c>
      <c r="AC25" s="196">
        <v>18.36</v>
      </c>
      <c r="AD25" s="196">
        <v>18.3</v>
      </c>
      <c r="AE25" s="196">
        <v>18.399999999999999</v>
      </c>
      <c r="AI25" s="135">
        <v>4.1691881687021828E-2</v>
      </c>
      <c r="AJ25" s="135">
        <v>-4.20330119300516E-3</v>
      </c>
      <c r="AK25" s="201" t="s">
        <v>88</v>
      </c>
      <c r="AM25" s="135">
        <v>2.0885703561452931E-2</v>
      </c>
      <c r="AN25" s="135">
        <v>4.1012658227848053E-2</v>
      </c>
      <c r="AO25" s="199" t="s">
        <v>53</v>
      </c>
    </row>
    <row r="26" spans="1:41" x14ac:dyDescent="0.25">
      <c r="A26" s="135">
        <f t="shared" si="0"/>
        <v>1.1572282875965161E-2</v>
      </c>
      <c r="B26" s="135">
        <f t="shared" si="1"/>
        <v>9.9746823573538812E-3</v>
      </c>
      <c r="C26" s="246" t="s">
        <v>71</v>
      </c>
      <c r="D26" s="196">
        <v>30.47</v>
      </c>
      <c r="E26" s="196">
        <v>30.96</v>
      </c>
      <c r="F26" s="196">
        <v>30.7</v>
      </c>
      <c r="G26" s="196">
        <v>30.48</v>
      </c>
      <c r="H26" s="196">
        <v>30.68</v>
      </c>
      <c r="I26" s="196">
        <v>30.68</v>
      </c>
      <c r="J26" s="196">
        <v>31.02</v>
      </c>
      <c r="K26" s="196">
        <v>30.65</v>
      </c>
      <c r="L26" s="196">
        <v>30.65</v>
      </c>
      <c r="M26" s="196">
        <v>30.55</v>
      </c>
      <c r="N26" s="196">
        <v>30.55</v>
      </c>
      <c r="O26" s="196">
        <v>30.55</v>
      </c>
      <c r="P26" s="196">
        <v>30.7</v>
      </c>
      <c r="Q26" s="196">
        <v>30.73</v>
      </c>
      <c r="R26" s="196">
        <v>30.63</v>
      </c>
      <c r="S26" s="196">
        <v>31.13</v>
      </c>
      <c r="T26" s="196">
        <v>31.15</v>
      </c>
      <c r="U26" s="196">
        <v>31.23</v>
      </c>
      <c r="V26" s="196">
        <v>31.35</v>
      </c>
      <c r="W26" s="196">
        <v>31.75</v>
      </c>
      <c r="X26" s="196">
        <v>30.92</v>
      </c>
      <c r="Y26" s="196">
        <v>31.05</v>
      </c>
      <c r="Z26" s="196">
        <v>30.71</v>
      </c>
      <c r="AA26" s="196">
        <v>30.17</v>
      </c>
      <c r="AB26" s="196">
        <v>29.96</v>
      </c>
      <c r="AC26" s="196">
        <v>30.66</v>
      </c>
      <c r="AD26" s="196">
        <v>30.71</v>
      </c>
      <c r="AE26" s="196">
        <v>30.88</v>
      </c>
      <c r="AI26" s="135">
        <v>4.1280759340202186E-2</v>
      </c>
      <c r="AJ26" s="135">
        <v>3.4407260351673186E-2</v>
      </c>
      <c r="AK26" s="201" t="s">
        <v>29</v>
      </c>
      <c r="AM26" s="135">
        <v>2.5604423108535272E-2</v>
      </c>
      <c r="AN26" s="135">
        <v>4.0854166666666858E-2</v>
      </c>
      <c r="AO26" s="201" t="s">
        <v>37</v>
      </c>
    </row>
    <row r="27" spans="1:41" x14ac:dyDescent="0.25">
      <c r="A27" s="135">
        <f t="shared" si="0"/>
        <v>2.0029978550766599E-2</v>
      </c>
      <c r="B27" s="135">
        <f t="shared" si="1"/>
        <v>1.1144130757796411E-3</v>
      </c>
      <c r="C27" s="246" t="s">
        <v>68</v>
      </c>
      <c r="D27" s="196">
        <v>13.46</v>
      </c>
      <c r="E27" s="196">
        <v>13.55</v>
      </c>
      <c r="F27" s="196">
        <v>13.44</v>
      </c>
      <c r="G27" s="196">
        <v>13.47</v>
      </c>
      <c r="H27" s="196">
        <v>13.52</v>
      </c>
      <c r="I27" s="196">
        <v>13.52</v>
      </c>
      <c r="J27" s="196">
        <v>13.21</v>
      </c>
      <c r="K27" s="196">
        <v>13.19</v>
      </c>
      <c r="L27" s="196">
        <v>13.19</v>
      </c>
      <c r="M27" s="196">
        <v>13.14</v>
      </c>
      <c r="N27" s="196">
        <v>13.14</v>
      </c>
      <c r="O27" s="196">
        <v>13.14</v>
      </c>
      <c r="P27" s="196">
        <v>13.15</v>
      </c>
      <c r="Q27" s="196">
        <v>13.24</v>
      </c>
      <c r="R27" s="196">
        <v>13.15</v>
      </c>
      <c r="S27" s="196">
        <v>13.37</v>
      </c>
      <c r="T27" s="196">
        <v>13.31</v>
      </c>
      <c r="U27" s="196">
        <v>13.45</v>
      </c>
      <c r="V27" s="196">
        <v>13.47</v>
      </c>
      <c r="W27" s="196">
        <v>13.71</v>
      </c>
      <c r="X27" s="196">
        <v>13.94</v>
      </c>
      <c r="Y27" s="196">
        <v>13.83</v>
      </c>
      <c r="Z27" s="196">
        <v>13.76</v>
      </c>
      <c r="AA27" s="196">
        <v>13.64</v>
      </c>
      <c r="AB27" s="196">
        <v>13.59</v>
      </c>
      <c r="AC27" s="196">
        <v>13.88</v>
      </c>
      <c r="AD27" s="196">
        <v>13.95</v>
      </c>
      <c r="AE27" s="196">
        <v>13.89</v>
      </c>
      <c r="AI27" s="135">
        <v>4.0499202571236133E-2</v>
      </c>
      <c r="AJ27" s="135">
        <v>-6.6808219178082329E-2</v>
      </c>
      <c r="AK27" s="201" t="s">
        <v>94</v>
      </c>
      <c r="AM27" s="135">
        <v>1.5745413682660223E-2</v>
      </c>
      <c r="AN27" s="135">
        <v>4.0280289242927036E-2</v>
      </c>
      <c r="AO27" s="200" t="s">
        <v>85</v>
      </c>
    </row>
    <row r="28" spans="1:41" x14ac:dyDescent="0.25">
      <c r="A28" s="135">
        <f t="shared" si="0"/>
        <v>2.0959428224014014E-2</v>
      </c>
      <c r="B28" s="135">
        <f t="shared" si="1"/>
        <v>-2.0155043763393499E-2</v>
      </c>
      <c r="C28" s="247" t="s">
        <v>34</v>
      </c>
      <c r="D28" s="196">
        <v>331.98</v>
      </c>
      <c r="E28" s="196">
        <v>335.39</v>
      </c>
      <c r="F28" s="196">
        <v>327.43</v>
      </c>
      <c r="G28" s="196">
        <v>314.16000000000003</v>
      </c>
      <c r="H28" s="196">
        <v>314.66000000000003</v>
      </c>
      <c r="I28" s="196">
        <v>315.95</v>
      </c>
      <c r="J28" s="196">
        <v>317.8</v>
      </c>
      <c r="K28" s="196">
        <v>322.89999999999998</v>
      </c>
      <c r="L28" s="196">
        <v>322.81</v>
      </c>
      <c r="M28" s="196">
        <v>323.67</v>
      </c>
      <c r="N28" s="196">
        <v>323.67</v>
      </c>
      <c r="O28" s="196">
        <v>322.17</v>
      </c>
      <c r="P28" s="196">
        <v>321.45</v>
      </c>
      <c r="Q28" s="196">
        <v>320.86</v>
      </c>
      <c r="R28" s="196">
        <v>318.51</v>
      </c>
      <c r="S28" s="196">
        <v>327.31</v>
      </c>
      <c r="T28" s="196">
        <v>327.31</v>
      </c>
      <c r="U28" s="196">
        <v>322.26</v>
      </c>
      <c r="V28" s="196">
        <v>332.97</v>
      </c>
      <c r="W28" s="196">
        <v>322.67</v>
      </c>
      <c r="X28" s="196">
        <v>320.58</v>
      </c>
      <c r="Y28" s="196">
        <v>324.51</v>
      </c>
      <c r="Z28" s="196">
        <v>327.24</v>
      </c>
      <c r="AA28" s="196">
        <v>329.1</v>
      </c>
      <c r="AB28" s="196">
        <v>332.38</v>
      </c>
      <c r="AC28" s="196">
        <v>331.14</v>
      </c>
      <c r="AD28" s="196">
        <v>333.46</v>
      </c>
      <c r="AE28" s="196">
        <v>343.75</v>
      </c>
      <c r="AI28" s="249">
        <v>3.8251967454087051E-2</v>
      </c>
      <c r="AJ28" s="249">
        <v>-1.6597510373483892E-4</v>
      </c>
      <c r="AK28" s="201" t="s">
        <v>91</v>
      </c>
      <c r="AM28" s="249">
        <v>2.1473013674736714E-2</v>
      </c>
      <c r="AN28" s="249">
        <v>4.0212201591511842E-2</v>
      </c>
      <c r="AO28" s="199" t="s">
        <v>72</v>
      </c>
    </row>
    <row r="29" spans="1:41" x14ac:dyDescent="0.25">
      <c r="A29" s="135">
        <f t="shared" si="0"/>
        <v>1.8474950106945873E-2</v>
      </c>
      <c r="B29" s="135">
        <f t="shared" si="1"/>
        <v>4.0302139308525664E-3</v>
      </c>
      <c r="C29" s="246" t="s">
        <v>67</v>
      </c>
      <c r="D29" s="196">
        <v>56.36</v>
      </c>
      <c r="E29" s="196">
        <v>57.72</v>
      </c>
      <c r="F29" s="196">
        <v>57.08</v>
      </c>
      <c r="G29" s="196">
        <v>56.78</v>
      </c>
      <c r="H29" s="196">
        <v>56.56</v>
      </c>
      <c r="I29" s="196">
        <v>56.56</v>
      </c>
      <c r="J29" s="196">
        <v>56.34</v>
      </c>
      <c r="K29" s="196">
        <v>55.44</v>
      </c>
      <c r="L29" s="196">
        <v>55.44</v>
      </c>
      <c r="M29" s="196">
        <v>55.42</v>
      </c>
      <c r="N29" s="196">
        <v>55.42</v>
      </c>
      <c r="O29" s="196">
        <v>55.42</v>
      </c>
      <c r="P29" s="196">
        <v>55.36</v>
      </c>
      <c r="Q29" s="196">
        <v>55.64</v>
      </c>
      <c r="R29" s="196">
        <v>55.34</v>
      </c>
      <c r="S29" s="196">
        <v>55.34</v>
      </c>
      <c r="T29" s="196">
        <v>55.4</v>
      </c>
      <c r="U29" s="196">
        <v>56.4</v>
      </c>
      <c r="V29" s="196">
        <v>56.8</v>
      </c>
      <c r="W29" s="196">
        <v>57.74</v>
      </c>
      <c r="X29" s="196">
        <v>57.66</v>
      </c>
      <c r="Y29" s="196">
        <v>56.8</v>
      </c>
      <c r="Z29" s="196">
        <v>57.46</v>
      </c>
      <c r="AA29" s="196">
        <v>57.3</v>
      </c>
      <c r="AB29" s="196">
        <v>57.94</v>
      </c>
      <c r="AC29" s="196">
        <v>57.82</v>
      </c>
      <c r="AD29" s="196">
        <v>58.34</v>
      </c>
      <c r="AE29" s="196">
        <v>58.56</v>
      </c>
      <c r="AI29" s="135">
        <v>3.7009299623088396E-2</v>
      </c>
      <c r="AJ29" s="135">
        <v>2.8673125526537557E-2</v>
      </c>
      <c r="AK29" s="200" t="s">
        <v>43</v>
      </c>
      <c r="AM29" s="135">
        <v>4.5898536475461237E-2</v>
      </c>
      <c r="AN29" s="135">
        <v>3.8937962202136411E-2</v>
      </c>
      <c r="AO29" s="199" t="s">
        <v>24</v>
      </c>
    </row>
    <row r="30" spans="1:41" x14ac:dyDescent="0.25">
      <c r="A30" s="135">
        <f t="shared" si="0"/>
        <v>3.0779369326217436E-2</v>
      </c>
      <c r="B30" s="135">
        <f t="shared" si="1"/>
        <v>3.0425240112934349E-2</v>
      </c>
      <c r="C30" s="246" t="s">
        <v>33</v>
      </c>
      <c r="D30" s="196">
        <v>337.49</v>
      </c>
      <c r="E30" s="196">
        <v>339.86</v>
      </c>
      <c r="F30" s="196">
        <v>335.18</v>
      </c>
      <c r="G30" s="196">
        <v>334.88</v>
      </c>
      <c r="H30" s="196">
        <v>337.26</v>
      </c>
      <c r="I30" s="196">
        <v>337.34</v>
      </c>
      <c r="J30" s="196">
        <v>339.36</v>
      </c>
      <c r="K30" s="196">
        <v>344.15</v>
      </c>
      <c r="L30" s="196">
        <v>343.84</v>
      </c>
      <c r="M30" s="196">
        <v>345.39</v>
      </c>
      <c r="N30" s="196">
        <v>345.39</v>
      </c>
      <c r="O30" s="196">
        <v>342.2</v>
      </c>
      <c r="P30" s="196">
        <v>340.48</v>
      </c>
      <c r="Q30" s="196">
        <v>339.47</v>
      </c>
      <c r="R30" s="196">
        <v>336.66</v>
      </c>
      <c r="S30" s="196">
        <v>343.4</v>
      </c>
      <c r="T30" s="196">
        <v>343.4</v>
      </c>
      <c r="U30" s="196">
        <v>355.56</v>
      </c>
      <c r="V30" s="196">
        <v>360.71</v>
      </c>
      <c r="W30" s="196">
        <v>345.64</v>
      </c>
      <c r="X30" s="196">
        <v>351.44</v>
      </c>
      <c r="Y30" s="196">
        <v>353.89</v>
      </c>
      <c r="Z30" s="196">
        <v>357.93</v>
      </c>
      <c r="AA30" s="196">
        <v>360.94</v>
      </c>
      <c r="AB30" s="196">
        <v>363.3</v>
      </c>
      <c r="AC30" s="196">
        <v>366</v>
      </c>
      <c r="AD30" s="196">
        <v>368.69</v>
      </c>
      <c r="AE30" s="196">
        <v>367.38</v>
      </c>
      <c r="AI30" s="135">
        <v>3.6384305099350846E-2</v>
      </c>
      <c r="AJ30" s="135">
        <v>0.12020879940342977</v>
      </c>
      <c r="AK30" s="201" t="s">
        <v>49</v>
      </c>
      <c r="AM30" s="135">
        <v>1.1572666213485775E-2</v>
      </c>
      <c r="AN30" s="135">
        <v>3.8529411764705923E-2</v>
      </c>
      <c r="AO30" s="200" t="s">
        <v>73</v>
      </c>
    </row>
    <row r="31" spans="1:41" x14ac:dyDescent="0.25">
      <c r="A31" s="135">
        <f t="shared" si="0"/>
        <v>3.2597361197555436E-2</v>
      </c>
      <c r="B31" s="135">
        <f t="shared" si="1"/>
        <v>2.354230691374859E-2</v>
      </c>
      <c r="C31" s="247" t="s">
        <v>336</v>
      </c>
      <c r="D31" s="196">
        <v>310.52</v>
      </c>
      <c r="E31" s="196">
        <v>309.01</v>
      </c>
      <c r="F31" s="196">
        <v>305.77</v>
      </c>
      <c r="G31" s="196">
        <v>299.10000000000002</v>
      </c>
      <c r="H31" s="196">
        <v>302.81</v>
      </c>
      <c r="I31" s="196">
        <v>303.75</v>
      </c>
      <c r="J31" s="196">
        <v>308.61</v>
      </c>
      <c r="K31" s="196">
        <v>315.61</v>
      </c>
      <c r="L31" s="196">
        <v>315.68</v>
      </c>
      <c r="M31" s="196">
        <v>315.67</v>
      </c>
      <c r="N31" s="196">
        <v>315.67</v>
      </c>
      <c r="O31" s="196">
        <v>314.95999999999998</v>
      </c>
      <c r="P31" s="196">
        <v>314.39</v>
      </c>
      <c r="Q31" s="196">
        <v>314.55</v>
      </c>
      <c r="R31" s="196">
        <v>313.8</v>
      </c>
      <c r="S31" s="196">
        <v>315.32</v>
      </c>
      <c r="T31" s="196">
        <v>315.32</v>
      </c>
      <c r="U31" s="196">
        <v>317.32</v>
      </c>
      <c r="V31" s="196">
        <v>314.55</v>
      </c>
      <c r="W31" s="196">
        <v>322.43</v>
      </c>
      <c r="X31" s="196">
        <v>326.01</v>
      </c>
      <c r="Y31" s="196">
        <v>329.14</v>
      </c>
      <c r="Z31" s="196">
        <v>330.29</v>
      </c>
      <c r="AA31" s="196">
        <v>332.73</v>
      </c>
      <c r="AB31" s="196">
        <v>336.43</v>
      </c>
      <c r="AC31" s="196">
        <v>336.31</v>
      </c>
      <c r="AD31" s="196">
        <v>333.16</v>
      </c>
      <c r="AE31" s="196">
        <v>330.34</v>
      </c>
      <c r="AI31" s="135">
        <v>3.468611911943683E-2</v>
      </c>
      <c r="AJ31" s="135">
        <v>3.1034086387550675E-2</v>
      </c>
      <c r="AK31" s="199" t="s">
        <v>25</v>
      </c>
      <c r="AM31" s="135">
        <v>2.4408030567371126E-2</v>
      </c>
      <c r="AN31" s="135">
        <v>3.7026754729654332E-2</v>
      </c>
      <c r="AO31" s="201" t="s">
        <v>30</v>
      </c>
    </row>
    <row r="32" spans="1:41" x14ac:dyDescent="0.25">
      <c r="A32" s="135">
        <f t="shared" si="0"/>
        <v>4.7073809518785585E-2</v>
      </c>
      <c r="B32" s="135">
        <f t="shared" si="1"/>
        <v>0.12859045082746823</v>
      </c>
      <c r="C32" s="248" t="s">
        <v>44</v>
      </c>
      <c r="D32" s="196">
        <v>75.099999999999994</v>
      </c>
      <c r="E32" s="196">
        <v>77.3</v>
      </c>
      <c r="F32" s="196">
        <v>78</v>
      </c>
      <c r="G32" s="196">
        <v>79.900000000000006</v>
      </c>
      <c r="H32" s="196">
        <v>82.5</v>
      </c>
      <c r="I32" s="196">
        <v>82.5</v>
      </c>
      <c r="J32" s="196">
        <v>83.5</v>
      </c>
      <c r="K32" s="196">
        <v>85.1</v>
      </c>
      <c r="L32" s="196">
        <v>85.1</v>
      </c>
      <c r="M32" s="196">
        <v>86</v>
      </c>
      <c r="N32" s="196">
        <v>86</v>
      </c>
      <c r="O32" s="196">
        <v>86</v>
      </c>
      <c r="P32" s="196">
        <v>85.3</v>
      </c>
      <c r="Q32" s="196">
        <v>86.3</v>
      </c>
      <c r="R32" s="196">
        <v>86.1</v>
      </c>
      <c r="S32" s="196">
        <v>84.7</v>
      </c>
      <c r="T32" s="196">
        <v>83.9</v>
      </c>
      <c r="U32" s="196">
        <v>84.4</v>
      </c>
      <c r="V32" s="196">
        <v>82.2</v>
      </c>
      <c r="W32" s="196">
        <v>84.8</v>
      </c>
      <c r="X32" s="196">
        <v>85.3</v>
      </c>
      <c r="Y32" s="196">
        <v>85.5</v>
      </c>
      <c r="Z32" s="196">
        <v>84.1</v>
      </c>
      <c r="AA32" s="196">
        <v>89.2</v>
      </c>
      <c r="AB32" s="196">
        <v>91.6</v>
      </c>
      <c r="AC32" s="196">
        <v>91.1</v>
      </c>
      <c r="AD32" s="196">
        <v>90.2</v>
      </c>
      <c r="AE32" s="196">
        <v>91.5</v>
      </c>
      <c r="AI32" s="135">
        <v>3.4007280211663632E-2</v>
      </c>
      <c r="AJ32" s="135">
        <v>4.4774774774774651E-2</v>
      </c>
      <c r="AK32" s="201" t="s">
        <v>21</v>
      </c>
      <c r="AM32" s="135">
        <v>2.7596286426916115E-2</v>
      </c>
      <c r="AN32" s="135">
        <v>3.6595744680850917E-2</v>
      </c>
      <c r="AO32" s="201" t="s">
        <v>22</v>
      </c>
    </row>
    <row r="33" spans="1:41" x14ac:dyDescent="0.25">
      <c r="A33" s="135">
        <f t="shared" si="0"/>
        <v>0.10185919658671592</v>
      </c>
      <c r="B33" s="135">
        <f t="shared" si="1"/>
        <v>8.884540117416817E-2</v>
      </c>
      <c r="C33" s="248" t="s">
        <v>90</v>
      </c>
      <c r="D33" s="196">
        <v>73</v>
      </c>
      <c r="E33" s="196">
        <v>72.45</v>
      </c>
      <c r="F33" s="196">
        <v>69.099999999999994</v>
      </c>
      <c r="G33" s="196">
        <v>71.75</v>
      </c>
      <c r="H33" s="196">
        <v>74.150000000000006</v>
      </c>
      <c r="I33" s="196">
        <v>73.599999999999994</v>
      </c>
      <c r="J33" s="196">
        <v>73.3</v>
      </c>
      <c r="K33" s="196">
        <v>73.2</v>
      </c>
      <c r="L33" s="196">
        <v>73.25</v>
      </c>
      <c r="M33" s="196">
        <v>73.25</v>
      </c>
      <c r="N33" s="196">
        <v>73.25</v>
      </c>
      <c r="O33" s="196">
        <v>73.25</v>
      </c>
      <c r="P33" s="196">
        <v>71.95</v>
      </c>
      <c r="Q33" s="196">
        <v>73.25</v>
      </c>
      <c r="R33" s="196">
        <v>73.25</v>
      </c>
      <c r="S33" s="196">
        <v>76.55</v>
      </c>
      <c r="T33" s="196">
        <v>81.75</v>
      </c>
      <c r="U33" s="196">
        <v>82.85</v>
      </c>
      <c r="V33" s="196">
        <v>81.900000000000006</v>
      </c>
      <c r="W33" s="196">
        <v>87</v>
      </c>
      <c r="X33" s="196">
        <v>86.35</v>
      </c>
      <c r="Y33" s="196">
        <v>90.9</v>
      </c>
      <c r="Z33" s="196">
        <v>91.75</v>
      </c>
      <c r="AA33" s="196">
        <v>92.3</v>
      </c>
      <c r="AB33" s="196">
        <v>91.5</v>
      </c>
      <c r="AC33" s="196">
        <v>89</v>
      </c>
      <c r="AD33" s="196">
        <v>89.15</v>
      </c>
      <c r="AE33" s="196">
        <v>92.6</v>
      </c>
      <c r="AI33" s="135">
        <v>3.2144114367302308E-2</v>
      </c>
      <c r="AJ33" s="135">
        <v>1.7204301075268491E-2</v>
      </c>
      <c r="AK33" s="201" t="s">
        <v>214</v>
      </c>
      <c r="AM33" s="135">
        <v>1.3560152945599381E-2</v>
      </c>
      <c r="AN33" s="135">
        <v>3.6487804878048813E-2</v>
      </c>
      <c r="AO33" s="199" t="s">
        <v>74</v>
      </c>
    </row>
    <row r="34" spans="1:41" x14ac:dyDescent="0.25">
      <c r="A34" s="135">
        <f>_xlfn.STDEV.S(D34:AF34)/AVERAGE(D34:AF34)</f>
        <v>8.7704845353231059E-2</v>
      </c>
      <c r="B34" s="135">
        <f>AVERAGE(D34:AF34)/D34-1</f>
        <v>0.10254037685060546</v>
      </c>
      <c r="C34" s="246" t="s">
        <v>56</v>
      </c>
      <c r="D34" s="196">
        <v>326.92</v>
      </c>
      <c r="E34" s="196">
        <v>329.1</v>
      </c>
      <c r="F34" s="196">
        <v>323.52999999999997</v>
      </c>
      <c r="G34" s="196">
        <v>319.14999999999998</v>
      </c>
      <c r="H34" s="196">
        <v>321.33</v>
      </c>
      <c r="I34" s="196">
        <v>322.63</v>
      </c>
      <c r="J34" s="196">
        <v>336.64</v>
      </c>
      <c r="K34" s="196">
        <v>354.21</v>
      </c>
      <c r="L34" s="196">
        <v>354.52</v>
      </c>
      <c r="M34" s="196">
        <v>355.45</v>
      </c>
      <c r="N34" s="196">
        <v>355.45</v>
      </c>
      <c r="O34" s="196">
        <v>351.13</v>
      </c>
      <c r="P34" s="196">
        <v>345.73</v>
      </c>
      <c r="Q34" s="196">
        <v>341.98</v>
      </c>
      <c r="R34" s="196">
        <v>340.07</v>
      </c>
      <c r="S34" s="196">
        <v>349.75</v>
      </c>
      <c r="T34" s="196">
        <v>349.75</v>
      </c>
      <c r="U34" s="196">
        <v>363.48</v>
      </c>
      <c r="V34" s="196">
        <v>367.6</v>
      </c>
      <c r="W34" s="196">
        <v>356.45</v>
      </c>
      <c r="X34" s="196">
        <v>378.47</v>
      </c>
      <c r="Y34" s="196">
        <v>386.99</v>
      </c>
      <c r="Z34" s="196">
        <v>392</v>
      </c>
      <c r="AA34" s="196">
        <v>398.25</v>
      </c>
      <c r="AB34" s="196">
        <v>411.66</v>
      </c>
      <c r="AC34" s="196">
        <v>415.39</v>
      </c>
      <c r="AD34" s="196">
        <v>418.86</v>
      </c>
      <c r="AE34" s="196">
        <v>425.9</v>
      </c>
      <c r="AI34" s="135">
        <v>3.1598814518014932E-2</v>
      </c>
      <c r="AJ34" s="135">
        <v>5.254256656382128E-2</v>
      </c>
      <c r="AK34" s="199" t="s">
        <v>87</v>
      </c>
      <c r="AM34" s="135">
        <v>5.3121049195975704E-2</v>
      </c>
      <c r="AN34" s="135">
        <v>3.6316085372201989E-2</v>
      </c>
      <c r="AO34" s="201" t="s">
        <v>55</v>
      </c>
    </row>
    <row r="35" spans="1:41" x14ac:dyDescent="0.25">
      <c r="A35" s="135">
        <f t="shared" si="0"/>
        <v>3.3844752245531934E-2</v>
      </c>
      <c r="B35" s="135">
        <f t="shared" si="1"/>
        <v>4.8704954954954749E-2</v>
      </c>
      <c r="C35" s="246" t="s">
        <v>21</v>
      </c>
      <c r="D35" s="196">
        <v>17.760000000000002</v>
      </c>
      <c r="E35" s="196">
        <v>17.78</v>
      </c>
      <c r="F35" s="196">
        <v>17.88</v>
      </c>
      <c r="G35" s="196">
        <v>17.68</v>
      </c>
      <c r="H35" s="196">
        <v>17.66</v>
      </c>
      <c r="I35" s="196">
        <v>17.66</v>
      </c>
      <c r="J35" s="196">
        <v>17.920000000000002</v>
      </c>
      <c r="K35" s="196">
        <v>18.28</v>
      </c>
      <c r="L35" s="196">
        <v>18.28</v>
      </c>
      <c r="M35" s="196">
        <v>18.28</v>
      </c>
      <c r="N35" s="196">
        <v>18.28</v>
      </c>
      <c r="O35" s="196">
        <v>18.28</v>
      </c>
      <c r="P35" s="196">
        <v>18.7</v>
      </c>
      <c r="Q35" s="196">
        <v>18.7</v>
      </c>
      <c r="R35" s="196">
        <v>18.7</v>
      </c>
      <c r="S35" s="196">
        <v>18.84</v>
      </c>
      <c r="T35" s="196">
        <v>19.02</v>
      </c>
      <c r="U35" s="196">
        <v>19</v>
      </c>
      <c r="V35" s="196">
        <v>19.3</v>
      </c>
      <c r="W35" s="196">
        <v>19.38</v>
      </c>
      <c r="X35" s="196">
        <v>19.420000000000002</v>
      </c>
      <c r="Y35" s="196">
        <v>19.34</v>
      </c>
      <c r="Z35" s="196">
        <v>19.5</v>
      </c>
      <c r="AA35" s="196">
        <v>19.239999999999998</v>
      </c>
      <c r="AB35" s="196">
        <v>19</v>
      </c>
      <c r="AC35" s="196">
        <v>19.14</v>
      </c>
      <c r="AD35" s="196">
        <v>19.12</v>
      </c>
      <c r="AE35" s="196">
        <v>19.36</v>
      </c>
      <c r="AI35" s="135">
        <v>3.1555389410534596E-2</v>
      </c>
      <c r="AJ35" s="135">
        <v>-6.6666666666667096E-3</v>
      </c>
      <c r="AK35" s="201" t="s">
        <v>93</v>
      </c>
      <c r="AM35" s="135">
        <v>4.1280759340202186E-2</v>
      </c>
      <c r="AN35" s="135">
        <v>3.4407260351673186E-2</v>
      </c>
      <c r="AO35" s="201" t="s">
        <v>29</v>
      </c>
    </row>
    <row r="36" spans="1:41" x14ac:dyDescent="0.25">
      <c r="A36" s="135">
        <f t="shared" si="0"/>
        <v>3.4626519028504159E-2</v>
      </c>
      <c r="B36" s="135">
        <f t="shared" si="1"/>
        <v>3.9303049527154021E-2</v>
      </c>
      <c r="C36" s="246" t="s">
        <v>35</v>
      </c>
      <c r="D36" s="196">
        <v>193.66</v>
      </c>
      <c r="E36" s="196">
        <v>194.93</v>
      </c>
      <c r="F36" s="196">
        <v>197.16</v>
      </c>
      <c r="G36" s="196">
        <v>200.86</v>
      </c>
      <c r="H36" s="196">
        <v>197.26</v>
      </c>
      <c r="I36" s="196">
        <v>198.08</v>
      </c>
      <c r="J36" s="196">
        <v>199.11</v>
      </c>
      <c r="K36" s="196">
        <v>195.16</v>
      </c>
      <c r="L36" s="196">
        <v>195.5</v>
      </c>
      <c r="M36" s="196">
        <v>196.93</v>
      </c>
      <c r="N36" s="196">
        <v>196.93</v>
      </c>
      <c r="O36" s="196">
        <v>197.37</v>
      </c>
      <c r="P36" s="196">
        <v>197.09</v>
      </c>
      <c r="Q36" s="196">
        <v>196.36</v>
      </c>
      <c r="R36" s="196">
        <v>195.09</v>
      </c>
      <c r="S36" s="196">
        <v>195.88</v>
      </c>
      <c r="T36" s="196">
        <v>195.88</v>
      </c>
      <c r="U36" s="196">
        <v>201.09</v>
      </c>
      <c r="V36" s="196">
        <v>204.94</v>
      </c>
      <c r="W36" s="196">
        <v>199.51</v>
      </c>
      <c r="X36" s="196">
        <v>205.24</v>
      </c>
      <c r="Y36" s="196">
        <v>207.38</v>
      </c>
      <c r="Z36" s="196">
        <v>207.86</v>
      </c>
      <c r="AA36" s="196">
        <v>208.6</v>
      </c>
      <c r="AB36" s="196">
        <v>210.28</v>
      </c>
      <c r="AC36" s="196">
        <v>213.04</v>
      </c>
      <c r="AD36" s="196">
        <v>215.02</v>
      </c>
      <c r="AE36" s="196">
        <v>219.39</v>
      </c>
      <c r="AI36" s="135">
        <v>3.1327462096308149E-2</v>
      </c>
      <c r="AJ36" s="135">
        <v>4.9267421083978524E-2</v>
      </c>
      <c r="AK36" s="199" t="s">
        <v>17</v>
      </c>
      <c r="AM36" s="135">
        <v>1.5593039837191309E-2</v>
      </c>
      <c r="AN36" s="135">
        <v>3.4341782502044005E-2</v>
      </c>
      <c r="AO36" s="199" t="s">
        <v>19</v>
      </c>
    </row>
    <row r="37" spans="1:41" ht="15.75" thickBot="1" x14ac:dyDescent="0.3">
      <c r="A37" s="135">
        <f t="shared" si="0"/>
        <v>2.0034624741603734E-2</v>
      </c>
      <c r="B37" s="135">
        <f t="shared" si="1"/>
        <v>4.5284780578898287E-2</v>
      </c>
      <c r="C37" s="246" t="s">
        <v>75</v>
      </c>
      <c r="D37" s="196">
        <v>4.59</v>
      </c>
      <c r="E37" s="196">
        <v>4.71</v>
      </c>
      <c r="F37" s="196">
        <v>4.7699999999999996</v>
      </c>
      <c r="G37" s="196">
        <v>4.79</v>
      </c>
      <c r="H37" s="196">
        <v>4.8099999999999996</v>
      </c>
      <c r="I37" s="196">
        <v>4.8099999999999996</v>
      </c>
      <c r="J37" s="196">
        <v>4.79</v>
      </c>
      <c r="K37" s="196">
        <v>4.8</v>
      </c>
      <c r="L37" s="196">
        <v>4.8</v>
      </c>
      <c r="M37" s="196">
        <v>4.78</v>
      </c>
      <c r="N37" s="196">
        <v>4.78</v>
      </c>
      <c r="O37" s="196">
        <v>4.78</v>
      </c>
      <c r="P37" s="196">
        <v>4.75</v>
      </c>
      <c r="Q37" s="196">
        <v>4.76</v>
      </c>
      <c r="R37" s="196">
        <v>4.75</v>
      </c>
      <c r="S37" s="196">
        <v>4.82</v>
      </c>
      <c r="T37" s="196">
        <v>4.8499999999999996</v>
      </c>
      <c r="U37" s="196">
        <v>4.9000000000000004</v>
      </c>
      <c r="V37" s="196">
        <v>5.04</v>
      </c>
      <c r="W37" s="196">
        <v>4.97</v>
      </c>
      <c r="X37" s="196">
        <v>5.0199999999999996</v>
      </c>
      <c r="Y37" s="196">
        <v>4.8899999999999997</v>
      </c>
      <c r="Z37" s="196">
        <v>4.75</v>
      </c>
      <c r="AA37" s="196">
        <v>4.75</v>
      </c>
      <c r="AB37" s="196">
        <v>4.71</v>
      </c>
      <c r="AC37" s="196">
        <v>4.6900000000000004</v>
      </c>
      <c r="AD37" s="196">
        <v>4.74</v>
      </c>
      <c r="AE37" s="196">
        <v>4.74</v>
      </c>
      <c r="AI37" s="135">
        <v>2.9457809283076071E-2</v>
      </c>
      <c r="AJ37" s="135">
        <v>1.7575679505345887E-2</v>
      </c>
      <c r="AK37" s="199" t="s">
        <v>336</v>
      </c>
      <c r="AM37" s="135">
        <v>7.0565797887280984E-2</v>
      </c>
      <c r="AN37" s="135">
        <v>3.2078826849238906E-2</v>
      </c>
      <c r="AO37" s="201" t="s">
        <v>51</v>
      </c>
    </row>
    <row r="38" spans="1:41" ht="15.75" thickBot="1" x14ac:dyDescent="0.3">
      <c r="A38" s="135">
        <f t="shared" si="0"/>
        <v>1.603363639235646E-2</v>
      </c>
      <c r="B38" s="250">
        <f t="shared" si="1"/>
        <v>3.0123121728281133E-2</v>
      </c>
      <c r="C38" s="205" t="s">
        <v>216</v>
      </c>
      <c r="D38" s="202">
        <v>16854.400000000001</v>
      </c>
      <c r="E38" s="202">
        <v>17026.5</v>
      </c>
      <c r="F38" s="202">
        <v>16921.900000000001</v>
      </c>
      <c r="G38" s="202">
        <v>16938.2</v>
      </c>
      <c r="H38" s="202">
        <v>17132.599999999999</v>
      </c>
      <c r="I38" s="202">
        <v>17132.599999999999</v>
      </c>
      <c r="J38" s="202">
        <v>17169.8</v>
      </c>
      <c r="K38" s="202">
        <v>17182.8</v>
      </c>
      <c r="L38" s="202">
        <v>17182.8</v>
      </c>
      <c r="M38" s="202">
        <v>17172.900000000001</v>
      </c>
      <c r="N38" s="202">
        <v>17172.900000000001</v>
      </c>
      <c r="O38" s="202">
        <v>17172.900000000001</v>
      </c>
      <c r="P38" s="202">
        <v>17195.8</v>
      </c>
      <c r="Q38" s="202">
        <v>17354.900000000001</v>
      </c>
      <c r="R38" s="202">
        <v>17307.8</v>
      </c>
      <c r="S38" s="202">
        <v>17492.400000000001</v>
      </c>
      <c r="T38" s="202">
        <v>17502.7</v>
      </c>
      <c r="U38" s="202">
        <v>17614.400000000001</v>
      </c>
      <c r="V38" s="202">
        <v>17647.099999999999</v>
      </c>
      <c r="W38" s="202">
        <v>17596.400000000001</v>
      </c>
      <c r="X38" s="202">
        <v>17654.7</v>
      </c>
      <c r="Y38" s="202">
        <v>17649</v>
      </c>
      <c r="Z38" s="202">
        <v>17664.2</v>
      </c>
      <c r="AA38" s="202">
        <v>17658.599999999999</v>
      </c>
      <c r="AB38" s="202">
        <v>17687.099999999999</v>
      </c>
      <c r="AC38" s="202">
        <v>17700</v>
      </c>
      <c r="AD38" s="202">
        <v>17642.7</v>
      </c>
      <c r="AE38" s="202">
        <v>17710.900000000001</v>
      </c>
      <c r="AF38" s="251"/>
      <c r="AI38" s="250">
        <v>2.7787929009831937E-2</v>
      </c>
      <c r="AJ38" s="252">
        <v>1.0378787878787987E-2</v>
      </c>
      <c r="AK38" s="253" t="s">
        <v>82</v>
      </c>
      <c r="AM38" s="250">
        <v>1.8155513529572429E-2</v>
      </c>
      <c r="AN38" s="252">
        <v>3.1833810888252323E-2</v>
      </c>
      <c r="AO38" s="254" t="s">
        <v>14</v>
      </c>
    </row>
    <row r="39" spans="1:41" x14ac:dyDescent="0.25">
      <c r="A39" s="135">
        <f t="shared" si="0"/>
        <v>1.6814690219414258E-2</v>
      </c>
      <c r="B39" s="135">
        <f t="shared" si="1"/>
        <v>2.7724512623841457E-2</v>
      </c>
      <c r="C39" s="246" t="s">
        <v>26</v>
      </c>
      <c r="D39" s="196">
        <v>17.88</v>
      </c>
      <c r="E39" s="196">
        <v>18.16</v>
      </c>
      <c r="F39" s="196">
        <v>17.98</v>
      </c>
      <c r="G39" s="196">
        <v>17.95</v>
      </c>
      <c r="H39" s="196">
        <v>17.95</v>
      </c>
      <c r="I39" s="196">
        <v>17.95</v>
      </c>
      <c r="J39" s="196">
        <v>18.21</v>
      </c>
      <c r="K39" s="196">
        <v>18.23</v>
      </c>
      <c r="L39" s="196">
        <v>18.23</v>
      </c>
      <c r="M39" s="196">
        <v>18.29</v>
      </c>
      <c r="N39" s="196">
        <v>18.29</v>
      </c>
      <c r="O39" s="196">
        <v>18.29</v>
      </c>
      <c r="P39" s="196">
        <v>18.329999999999998</v>
      </c>
      <c r="Q39" s="196">
        <v>18.45</v>
      </c>
      <c r="R39" s="196">
        <v>18.46</v>
      </c>
      <c r="S39" s="196">
        <v>18.63</v>
      </c>
      <c r="T39" s="196">
        <v>18.77</v>
      </c>
      <c r="U39" s="196">
        <v>18.62</v>
      </c>
      <c r="V39" s="196">
        <v>18.75</v>
      </c>
      <c r="W39" s="196">
        <v>19</v>
      </c>
      <c r="X39" s="196">
        <v>18.940000000000001</v>
      </c>
      <c r="Y39" s="196">
        <v>18.899999999999999</v>
      </c>
      <c r="Z39" s="196">
        <v>18.47</v>
      </c>
      <c r="AA39" s="196">
        <v>18.3</v>
      </c>
      <c r="AB39" s="196">
        <v>18.25</v>
      </c>
      <c r="AC39" s="196">
        <v>18.38</v>
      </c>
      <c r="AD39" s="196">
        <v>18.29</v>
      </c>
      <c r="AE39" s="196">
        <v>18.57</v>
      </c>
      <c r="AI39" s="135">
        <v>2.7596286426916115E-2</v>
      </c>
      <c r="AJ39" s="135">
        <v>3.6595744680850917E-2</v>
      </c>
      <c r="AK39" s="255" t="s">
        <v>22</v>
      </c>
      <c r="AM39" s="135">
        <v>4.2239563379894318E-2</v>
      </c>
      <c r="AN39" s="135">
        <v>3.1485943775100722E-2</v>
      </c>
      <c r="AO39" s="255" t="s">
        <v>42</v>
      </c>
    </row>
    <row r="40" spans="1:41" x14ac:dyDescent="0.25">
      <c r="A40" s="135">
        <f t="shared" si="0"/>
        <v>9.2677036794098722E-2</v>
      </c>
      <c r="B40" s="135">
        <f t="shared" si="1"/>
        <v>6.495912486031874E-2</v>
      </c>
      <c r="C40" s="200" t="s">
        <v>41</v>
      </c>
      <c r="D40" s="196">
        <v>48.58</v>
      </c>
      <c r="E40" s="196">
        <v>48.74</v>
      </c>
      <c r="F40" s="196">
        <v>46.26</v>
      </c>
      <c r="G40" s="196">
        <v>45.76</v>
      </c>
      <c r="H40" s="196">
        <v>47.78</v>
      </c>
      <c r="I40" s="196">
        <v>47.78</v>
      </c>
      <c r="J40" s="196">
        <v>48.36</v>
      </c>
      <c r="K40" s="196">
        <v>48</v>
      </c>
      <c r="L40" s="196">
        <v>48</v>
      </c>
      <c r="M40" s="196">
        <v>47.5</v>
      </c>
      <c r="N40" s="196">
        <v>47.5</v>
      </c>
      <c r="O40" s="196">
        <v>47.5</v>
      </c>
      <c r="P40" s="196">
        <v>47.38</v>
      </c>
      <c r="Q40" s="196">
        <v>48.62</v>
      </c>
      <c r="R40" s="196">
        <v>48.54</v>
      </c>
      <c r="S40" s="196">
        <v>49.6</v>
      </c>
      <c r="T40" s="196">
        <v>52.45</v>
      </c>
      <c r="U40" s="196">
        <v>54.4</v>
      </c>
      <c r="V40" s="196">
        <v>53.85</v>
      </c>
      <c r="W40" s="196">
        <v>57.6</v>
      </c>
      <c r="X40" s="196">
        <v>57.15</v>
      </c>
      <c r="Y40" s="196">
        <v>58.6</v>
      </c>
      <c r="Z40" s="196">
        <v>59.15</v>
      </c>
      <c r="AA40" s="196">
        <v>58</v>
      </c>
      <c r="AB40" s="196">
        <v>57.95</v>
      </c>
      <c r="AC40" s="196">
        <v>57.45</v>
      </c>
      <c r="AD40" s="196">
        <v>57.85</v>
      </c>
      <c r="AE40" s="196">
        <v>58.25</v>
      </c>
      <c r="AI40" s="135">
        <v>2.5994400951855765E-2</v>
      </c>
      <c r="AJ40" s="135">
        <v>-6.1387535163833662E-2</v>
      </c>
      <c r="AK40" s="201" t="s">
        <v>89</v>
      </c>
      <c r="AM40" s="135">
        <v>3.468611911943683E-2</v>
      </c>
      <c r="AN40" s="135">
        <v>3.1034086387550675E-2</v>
      </c>
      <c r="AO40" s="199" t="s">
        <v>25</v>
      </c>
    </row>
    <row r="41" spans="1:41" x14ac:dyDescent="0.25">
      <c r="A41" s="135">
        <f>_xlfn.STDEV.S(D41:AF41)/AVERAGE(D41:AF41)</f>
        <v>1.3859585416530686E-2</v>
      </c>
      <c r="B41" s="135">
        <f>AVERAGE(D41:AF41)/D41-1</f>
        <v>2.9431216931216975E-2</v>
      </c>
      <c r="C41" s="246" t="s">
        <v>70</v>
      </c>
      <c r="D41" s="196">
        <v>1.08</v>
      </c>
      <c r="E41" s="196">
        <v>1.08</v>
      </c>
      <c r="F41" s="196">
        <v>1.07</v>
      </c>
      <c r="G41" s="196">
        <v>1.1000000000000001</v>
      </c>
      <c r="H41" s="196">
        <v>1.1000000000000001</v>
      </c>
      <c r="I41" s="196">
        <v>1.1000000000000001</v>
      </c>
      <c r="J41" s="196">
        <v>1.1000000000000001</v>
      </c>
      <c r="K41" s="196">
        <v>1.1100000000000001</v>
      </c>
      <c r="L41" s="196">
        <v>1.1100000000000001</v>
      </c>
      <c r="M41" s="196">
        <v>1.1200000000000001</v>
      </c>
      <c r="N41" s="196">
        <v>1.1200000000000001</v>
      </c>
      <c r="O41" s="196">
        <v>1.1200000000000001</v>
      </c>
      <c r="P41" s="196">
        <v>1.1200000000000001</v>
      </c>
      <c r="Q41" s="196">
        <v>1.1200000000000001</v>
      </c>
      <c r="R41" s="196">
        <v>1.1200000000000001</v>
      </c>
      <c r="S41" s="196">
        <v>1.1299999999999999</v>
      </c>
      <c r="T41" s="196">
        <v>1.1299999999999999</v>
      </c>
      <c r="U41" s="196">
        <v>1.1200000000000001</v>
      </c>
      <c r="V41" s="196">
        <v>1.1200000000000001</v>
      </c>
      <c r="W41" s="196">
        <v>1.1100000000000001</v>
      </c>
      <c r="X41" s="196">
        <v>1.1100000000000001</v>
      </c>
      <c r="Y41" s="196">
        <v>1.1100000000000001</v>
      </c>
      <c r="Z41" s="196">
        <v>1.1200000000000001</v>
      </c>
      <c r="AA41" s="196">
        <v>1.1200000000000001</v>
      </c>
      <c r="AB41" s="196">
        <v>1.1100000000000001</v>
      </c>
      <c r="AC41" s="196">
        <v>1.1200000000000001</v>
      </c>
      <c r="AD41" s="196">
        <v>1.1299999999999999</v>
      </c>
      <c r="AE41" s="196">
        <v>1.1299999999999999</v>
      </c>
      <c r="AI41" s="135">
        <v>2.5604423108535272E-2</v>
      </c>
      <c r="AJ41" s="135">
        <v>4.0854166666666858E-2</v>
      </c>
      <c r="AK41" s="201" t="s">
        <v>37</v>
      </c>
      <c r="AM41" s="135">
        <v>2.4626798850929037E-2</v>
      </c>
      <c r="AN41" s="135">
        <v>3.0290199318393052E-2</v>
      </c>
      <c r="AO41" s="201" t="s">
        <v>35</v>
      </c>
    </row>
    <row r="42" spans="1:41" x14ac:dyDescent="0.25">
      <c r="A42" s="135">
        <f t="shared" si="0"/>
        <v>8.9128036170671054E-2</v>
      </c>
      <c r="B42" s="135">
        <f t="shared" si="1"/>
        <v>8.8187438984705491E-2</v>
      </c>
      <c r="C42" s="246" t="s">
        <v>52</v>
      </c>
      <c r="D42" s="196">
        <v>48.29</v>
      </c>
      <c r="E42" s="196">
        <v>48.14</v>
      </c>
      <c r="F42" s="196">
        <v>46.24</v>
      </c>
      <c r="G42" s="196">
        <v>46.38</v>
      </c>
      <c r="H42" s="196">
        <v>48.27</v>
      </c>
      <c r="I42" s="196">
        <v>48.27</v>
      </c>
      <c r="J42" s="196">
        <v>49.38</v>
      </c>
      <c r="K42" s="196">
        <v>49.6</v>
      </c>
      <c r="L42" s="196">
        <v>49.6</v>
      </c>
      <c r="M42" s="196">
        <v>49.6</v>
      </c>
      <c r="N42" s="196">
        <v>49.6</v>
      </c>
      <c r="O42" s="196">
        <v>49.6</v>
      </c>
      <c r="P42" s="196">
        <v>48.43</v>
      </c>
      <c r="Q42" s="196">
        <v>48.93</v>
      </c>
      <c r="R42" s="196">
        <v>48.93</v>
      </c>
      <c r="S42" s="196">
        <v>51.4</v>
      </c>
      <c r="T42" s="196">
        <v>54.4</v>
      </c>
      <c r="U42" s="196">
        <v>54.46</v>
      </c>
      <c r="V42" s="196">
        <v>54.66</v>
      </c>
      <c r="W42" s="196">
        <v>57.4</v>
      </c>
      <c r="X42" s="196">
        <v>59.5</v>
      </c>
      <c r="Y42" s="196">
        <v>58.6</v>
      </c>
      <c r="Z42" s="196">
        <v>59.4</v>
      </c>
      <c r="AA42" s="196">
        <v>58.58</v>
      </c>
      <c r="AB42" s="196">
        <v>58.84</v>
      </c>
      <c r="AC42" s="196">
        <v>57.88</v>
      </c>
      <c r="AD42" s="196">
        <v>58.1</v>
      </c>
      <c r="AE42" s="196">
        <v>58.88</v>
      </c>
      <c r="AI42" s="135">
        <v>2.5067224563730457E-2</v>
      </c>
      <c r="AJ42" s="135">
        <v>2.3456695013185591E-2</v>
      </c>
      <c r="AK42" s="201" t="s">
        <v>33</v>
      </c>
      <c r="AM42" s="135">
        <v>3.7009299623088396E-2</v>
      </c>
      <c r="AN42" s="135">
        <v>2.8673125526537557E-2</v>
      </c>
      <c r="AO42" s="200" t="s">
        <v>43</v>
      </c>
    </row>
    <row r="43" spans="1:41" x14ac:dyDescent="0.25">
      <c r="A43" s="135">
        <f t="shared" si="0"/>
        <v>7.1664043823739199E-2</v>
      </c>
      <c r="B43" s="135">
        <f t="shared" si="1"/>
        <v>7.2772757822417988E-2</v>
      </c>
      <c r="C43" s="246" t="s">
        <v>47</v>
      </c>
      <c r="D43" s="196">
        <v>286.95</v>
      </c>
      <c r="E43" s="196">
        <v>288.63</v>
      </c>
      <c r="F43" s="196">
        <v>281.94</v>
      </c>
      <c r="G43" s="196">
        <v>279.24</v>
      </c>
      <c r="H43" s="196">
        <v>282.44</v>
      </c>
      <c r="I43" s="196">
        <v>282.72000000000003</v>
      </c>
      <c r="J43" s="196">
        <v>287.45</v>
      </c>
      <c r="K43" s="196">
        <v>297.26</v>
      </c>
      <c r="L43" s="196">
        <v>297.83</v>
      </c>
      <c r="M43" s="196">
        <v>298.14</v>
      </c>
      <c r="N43" s="196">
        <v>298.14</v>
      </c>
      <c r="O43" s="196">
        <v>296.77</v>
      </c>
      <c r="P43" s="196">
        <v>295.93</v>
      </c>
      <c r="Q43" s="196">
        <v>295.47000000000003</v>
      </c>
      <c r="R43" s="196">
        <v>293.57</v>
      </c>
      <c r="S43" s="196">
        <v>304.48</v>
      </c>
      <c r="T43" s="196">
        <v>304.48</v>
      </c>
      <c r="U43" s="196">
        <v>311.38</v>
      </c>
      <c r="V43" s="196">
        <v>314.47000000000003</v>
      </c>
      <c r="W43" s="196">
        <v>309.76</v>
      </c>
      <c r="X43" s="196">
        <v>325.74</v>
      </c>
      <c r="Y43" s="196">
        <v>335.77</v>
      </c>
      <c r="Z43" s="196">
        <v>339.09</v>
      </c>
      <c r="AA43" s="196">
        <v>340.68</v>
      </c>
      <c r="AB43" s="196">
        <v>341.24</v>
      </c>
      <c r="AC43" s="196">
        <v>342.85</v>
      </c>
      <c r="AD43" s="196">
        <v>340.42</v>
      </c>
      <c r="AE43" s="196">
        <v>346.46</v>
      </c>
      <c r="AI43" s="135">
        <v>2.4626798850929037E-2</v>
      </c>
      <c r="AJ43" s="135">
        <v>3.0290199318393052E-2</v>
      </c>
      <c r="AK43" s="201" t="s">
        <v>35</v>
      </c>
      <c r="AM43" s="249">
        <v>1.5544614764957847E-2</v>
      </c>
      <c r="AN43" s="249">
        <v>2.7827510917030285E-2</v>
      </c>
      <c r="AO43" s="200" t="s">
        <v>216</v>
      </c>
    </row>
    <row r="44" spans="1:41" x14ac:dyDescent="0.25">
      <c r="A44" s="135">
        <f t="shared" si="0"/>
        <v>1.4832529834130054E-2</v>
      </c>
      <c r="B44" s="135">
        <f t="shared" si="1"/>
        <v>-5.9398940636142816E-3</v>
      </c>
      <c r="C44" s="256" t="s">
        <v>218</v>
      </c>
      <c r="D44" s="196">
        <v>6006.3</v>
      </c>
      <c r="E44" s="196">
        <v>6144.7</v>
      </c>
      <c r="F44" s="196">
        <v>6038.4</v>
      </c>
      <c r="G44" s="196">
        <v>6000.2</v>
      </c>
      <c r="H44" s="196">
        <v>5946.2</v>
      </c>
      <c r="I44" s="196">
        <v>5946.2</v>
      </c>
      <c r="J44" s="196">
        <v>5903.35</v>
      </c>
      <c r="K44" s="196">
        <v>5877.1</v>
      </c>
      <c r="L44" s="196">
        <v>5877.1</v>
      </c>
      <c r="M44" s="196">
        <v>5830.85</v>
      </c>
      <c r="N44" s="196">
        <v>5825.15</v>
      </c>
      <c r="O44" s="196">
        <v>5957.65</v>
      </c>
      <c r="P44" s="196">
        <v>5923.7</v>
      </c>
      <c r="Q44" s="196">
        <v>5900.7</v>
      </c>
      <c r="R44" s="196">
        <v>5943.95</v>
      </c>
      <c r="S44" s="196">
        <v>5955.25</v>
      </c>
      <c r="T44" s="196">
        <v>5930.9</v>
      </c>
      <c r="U44" s="196">
        <v>5930.9</v>
      </c>
      <c r="V44" s="196">
        <v>5953.65</v>
      </c>
      <c r="W44" s="196">
        <v>5965.95</v>
      </c>
      <c r="X44" s="196">
        <v>5874.35</v>
      </c>
      <c r="Y44" s="196">
        <v>5910.5</v>
      </c>
      <c r="Z44" s="196">
        <v>6121.95</v>
      </c>
      <c r="AA44" s="196">
        <v>6082.7</v>
      </c>
      <c r="AB44" s="196">
        <v>6082.7</v>
      </c>
      <c r="AC44" s="196">
        <v>6071</v>
      </c>
      <c r="AD44" s="196">
        <v>6071</v>
      </c>
      <c r="AE44" s="196">
        <v>6105.05</v>
      </c>
      <c r="AI44" s="135">
        <v>2.4408030567371126E-2</v>
      </c>
      <c r="AJ44" s="135">
        <v>3.7026754729654332E-2</v>
      </c>
      <c r="AK44" s="201" t="s">
        <v>30</v>
      </c>
      <c r="AM44" s="135">
        <v>1.376148857344095E-2</v>
      </c>
      <c r="AN44" s="135">
        <v>2.7777777777777901E-2</v>
      </c>
      <c r="AO44" s="201" t="s">
        <v>70</v>
      </c>
    </row>
    <row r="45" spans="1:41" x14ac:dyDescent="0.25">
      <c r="A45" s="135">
        <f>_xlfn.STDEV.S(D45:AF45)/AVERAGE(D45:AF45)</f>
        <v>1.702169090305097E-2</v>
      </c>
      <c r="B45" s="135">
        <f>AVERAGE(D45:AF45)/D45-1</f>
        <v>3.8124064138409741E-2</v>
      </c>
      <c r="C45" s="247" t="s">
        <v>85</v>
      </c>
      <c r="D45" s="196">
        <v>1027.51</v>
      </c>
      <c r="E45" s="196">
        <v>1056.75</v>
      </c>
      <c r="F45" s="196">
        <v>1046.23</v>
      </c>
      <c r="G45" s="196">
        <v>1043.27</v>
      </c>
      <c r="H45" s="196">
        <v>1060.97</v>
      </c>
      <c r="I45" s="196">
        <v>1056.8800000000001</v>
      </c>
      <c r="J45" s="196">
        <v>1071.44</v>
      </c>
      <c r="K45" s="196">
        <v>1070.92</v>
      </c>
      <c r="L45" s="196">
        <v>1071.6400000000001</v>
      </c>
      <c r="M45" s="196">
        <v>1076.98</v>
      </c>
      <c r="N45" s="196">
        <v>1076.98</v>
      </c>
      <c r="O45" s="196">
        <v>1077.75</v>
      </c>
      <c r="P45" s="196">
        <v>1078.73</v>
      </c>
      <c r="Q45" s="196">
        <v>1079.75</v>
      </c>
      <c r="R45" s="196">
        <v>1074.68</v>
      </c>
      <c r="S45" s="196">
        <v>1080.3599999999999</v>
      </c>
      <c r="T45" s="196">
        <v>1080.3599999999999</v>
      </c>
      <c r="U45" s="196">
        <v>1041.51</v>
      </c>
      <c r="V45" s="196">
        <v>1064.04</v>
      </c>
      <c r="W45" s="196">
        <v>1108.0899999999999</v>
      </c>
      <c r="X45" s="196">
        <v>1085.19</v>
      </c>
      <c r="Y45" s="196">
        <v>1063.56</v>
      </c>
      <c r="Z45" s="196">
        <v>1070.68</v>
      </c>
      <c r="AA45" s="196">
        <v>1081</v>
      </c>
      <c r="AB45" s="196">
        <v>1077.19</v>
      </c>
      <c r="AC45" s="196">
        <v>1073.29</v>
      </c>
      <c r="AD45" s="196">
        <v>1032.97</v>
      </c>
      <c r="AE45" s="196">
        <v>1038.4000000000001</v>
      </c>
      <c r="AI45" s="135">
        <v>2.3906829559509731E-2</v>
      </c>
      <c r="AJ45" s="135">
        <v>5.7105775470489561E-4</v>
      </c>
      <c r="AK45" s="201" t="s">
        <v>38</v>
      </c>
      <c r="AM45" s="135">
        <v>1.7680485779160149E-2</v>
      </c>
      <c r="AN45" s="135">
        <v>2.7472035794183336E-2</v>
      </c>
      <c r="AO45" s="199" t="s">
        <v>26</v>
      </c>
    </row>
    <row r="46" spans="1:41" x14ac:dyDescent="0.25">
      <c r="A46" s="135">
        <f t="shared" si="0"/>
        <v>7.0050967725316257E-2</v>
      </c>
      <c r="B46" s="135">
        <f t="shared" si="1"/>
        <v>5.4160035695694164E-2</v>
      </c>
      <c r="C46" s="246" t="s">
        <v>55</v>
      </c>
      <c r="D46" s="196">
        <v>480.25</v>
      </c>
      <c r="E46" s="196">
        <v>481.53</v>
      </c>
      <c r="F46" s="196">
        <v>476.52</v>
      </c>
      <c r="G46" s="196">
        <v>472.74</v>
      </c>
      <c r="H46" s="196">
        <v>470.02</v>
      </c>
      <c r="I46" s="196">
        <v>470.14</v>
      </c>
      <c r="J46" s="196">
        <v>474.13</v>
      </c>
      <c r="K46" s="196">
        <v>482.29</v>
      </c>
      <c r="L46" s="196">
        <v>482.55</v>
      </c>
      <c r="M46" s="196">
        <v>485.75</v>
      </c>
      <c r="N46" s="196">
        <v>485.75</v>
      </c>
      <c r="O46" s="196">
        <v>483.03</v>
      </c>
      <c r="P46" s="196">
        <v>488.87</v>
      </c>
      <c r="Q46" s="196">
        <v>488</v>
      </c>
      <c r="R46" s="196">
        <v>483.67</v>
      </c>
      <c r="S46" s="196">
        <v>497.07</v>
      </c>
      <c r="T46" s="196">
        <v>497.07</v>
      </c>
      <c r="U46" s="196">
        <v>511.57</v>
      </c>
      <c r="V46" s="196">
        <v>522.04</v>
      </c>
      <c r="W46" s="196">
        <v>496.87</v>
      </c>
      <c r="X46" s="196">
        <v>518.44000000000005</v>
      </c>
      <c r="Y46" s="196">
        <v>542.91999999999996</v>
      </c>
      <c r="Z46" s="196">
        <v>541.51</v>
      </c>
      <c r="AA46" s="196">
        <v>551.24</v>
      </c>
      <c r="AB46" s="196">
        <v>558.29999999999995</v>
      </c>
      <c r="AC46" s="196">
        <v>572.70000000000005</v>
      </c>
      <c r="AD46" s="196">
        <v>577.89</v>
      </c>
      <c r="AE46" s="196">
        <v>582.42999999999995</v>
      </c>
      <c r="AI46" s="135">
        <v>2.3063792497763785E-2</v>
      </c>
      <c r="AJ46" s="135">
        <v>2.4928530588907982E-3</v>
      </c>
      <c r="AK46" s="199" t="s">
        <v>20</v>
      </c>
      <c r="AM46" s="135">
        <v>2.5067224563730457E-2</v>
      </c>
      <c r="AN46" s="135">
        <v>2.3456695013185591E-2</v>
      </c>
      <c r="AO46" s="201" t="s">
        <v>33</v>
      </c>
    </row>
    <row r="47" spans="1:41" x14ac:dyDescent="0.25">
      <c r="A47" s="135">
        <f t="shared" si="0"/>
        <v>1.2792774759423987E-2</v>
      </c>
      <c r="B47" s="135">
        <f t="shared" si="1"/>
        <v>3.6411149825784195E-2</v>
      </c>
      <c r="C47" s="246" t="s">
        <v>74</v>
      </c>
      <c r="D47" s="196">
        <v>4.0999999999999996</v>
      </c>
      <c r="E47" s="196">
        <v>4.16</v>
      </c>
      <c r="F47" s="196">
        <v>4.17</v>
      </c>
      <c r="G47" s="196">
        <v>4.2300000000000004</v>
      </c>
      <c r="H47" s="196">
        <v>4.25</v>
      </c>
      <c r="I47" s="196">
        <v>4.25</v>
      </c>
      <c r="J47" s="196">
        <v>4.32</v>
      </c>
      <c r="K47" s="196">
        <v>4.3099999999999996</v>
      </c>
      <c r="L47" s="196">
        <v>4.3099999999999996</v>
      </c>
      <c r="M47" s="196">
        <v>4.3</v>
      </c>
      <c r="N47" s="196">
        <v>4.3</v>
      </c>
      <c r="O47" s="196">
        <v>4.3</v>
      </c>
      <c r="P47" s="196">
        <v>4.2699999999999996</v>
      </c>
      <c r="Q47" s="196">
        <v>4.3099999999999996</v>
      </c>
      <c r="R47" s="196">
        <v>4.28</v>
      </c>
      <c r="S47" s="196">
        <v>4.26</v>
      </c>
      <c r="T47" s="196">
        <v>4.22</v>
      </c>
      <c r="U47" s="196">
        <v>4.29</v>
      </c>
      <c r="V47" s="196">
        <v>4.29</v>
      </c>
      <c r="W47" s="196">
        <v>4.2</v>
      </c>
      <c r="X47" s="196">
        <v>4.28</v>
      </c>
      <c r="Y47" s="196">
        <v>4.24</v>
      </c>
      <c r="Z47" s="196">
        <v>4.2300000000000004</v>
      </c>
      <c r="AA47" s="196">
        <v>4.21</v>
      </c>
      <c r="AB47" s="196">
        <v>4.16</v>
      </c>
      <c r="AC47" s="196">
        <v>4.25</v>
      </c>
      <c r="AD47" s="196">
        <v>4.24</v>
      </c>
      <c r="AE47" s="196">
        <v>4.25</v>
      </c>
      <c r="AI47" s="135">
        <v>2.2444798165693735E-2</v>
      </c>
      <c r="AJ47" s="135">
        <v>-3.9636717482971151E-2</v>
      </c>
      <c r="AK47" s="201" t="s">
        <v>219</v>
      </c>
      <c r="AM47" s="135">
        <v>1.2400580575953991E-2</v>
      </c>
      <c r="AN47" s="135">
        <v>2.3292682926829178E-2</v>
      </c>
      <c r="AO47" s="201" t="s">
        <v>84</v>
      </c>
    </row>
    <row r="48" spans="1:41" x14ac:dyDescent="0.25">
      <c r="A48" s="135">
        <f>_xlfn.STDEV.S(D48:AF48)/AVERAGE(D48:AF48)</f>
        <v>2.0544314971134566E-2</v>
      </c>
      <c r="B48" s="135">
        <f>AVERAGE(D48:AF48)/D48-1</f>
        <v>3.9077302008336368E-2</v>
      </c>
      <c r="C48" s="246" t="s">
        <v>72</v>
      </c>
      <c r="D48" s="196">
        <v>7.54</v>
      </c>
      <c r="E48" s="196">
        <v>7.56</v>
      </c>
      <c r="F48" s="196">
        <v>7.59</v>
      </c>
      <c r="G48" s="196">
        <v>7.62</v>
      </c>
      <c r="H48" s="196">
        <v>7.68</v>
      </c>
      <c r="I48" s="196">
        <v>7.68</v>
      </c>
      <c r="J48" s="196">
        <v>7.76</v>
      </c>
      <c r="K48" s="196">
        <v>7.81</v>
      </c>
      <c r="L48" s="196">
        <v>7.81</v>
      </c>
      <c r="M48" s="196">
        <v>7.78</v>
      </c>
      <c r="N48" s="196">
        <v>7.78</v>
      </c>
      <c r="O48" s="196">
        <v>7.78</v>
      </c>
      <c r="P48" s="196">
        <v>7.84</v>
      </c>
      <c r="Q48" s="196">
        <v>7.96</v>
      </c>
      <c r="R48" s="196">
        <v>7.92</v>
      </c>
      <c r="S48" s="196">
        <v>7.92</v>
      </c>
      <c r="T48" s="196">
        <v>7.95</v>
      </c>
      <c r="U48" s="196">
        <v>8.08</v>
      </c>
      <c r="V48" s="196">
        <v>8.09</v>
      </c>
      <c r="W48" s="196">
        <v>8.01</v>
      </c>
      <c r="X48" s="196">
        <v>8.1</v>
      </c>
      <c r="Y48" s="196">
        <v>8.07</v>
      </c>
      <c r="Z48" s="196">
        <v>7.97</v>
      </c>
      <c r="AA48" s="196">
        <v>7.87</v>
      </c>
      <c r="AB48" s="196">
        <v>7.91</v>
      </c>
      <c r="AC48" s="196">
        <v>7.78</v>
      </c>
      <c r="AD48" s="196">
        <v>7.73</v>
      </c>
      <c r="AE48" s="196">
        <v>7.78</v>
      </c>
      <c r="AI48" s="249">
        <v>2.1473013674736714E-2</v>
      </c>
      <c r="AJ48" s="249">
        <v>4.0212201591511842E-2</v>
      </c>
      <c r="AK48" s="199" t="s">
        <v>72</v>
      </c>
      <c r="AM48" s="135">
        <v>8.7581387594786009E-2</v>
      </c>
      <c r="AN48" s="135">
        <v>2.0265678097003414E-2</v>
      </c>
      <c r="AO48" s="201" t="s">
        <v>50</v>
      </c>
    </row>
    <row r="49" spans="1:41" x14ac:dyDescent="0.25">
      <c r="A49" s="135">
        <f t="shared" si="0"/>
        <v>2.2229251530489838E-2</v>
      </c>
      <c r="B49" s="135">
        <f t="shared" si="1"/>
        <v>1.1406196988209549E-2</v>
      </c>
      <c r="C49" s="246" t="s">
        <v>83</v>
      </c>
      <c r="D49" s="196">
        <v>644.23</v>
      </c>
      <c r="E49" s="196">
        <v>649.26</v>
      </c>
      <c r="F49" s="196">
        <v>653.83000000000004</v>
      </c>
      <c r="G49" s="196">
        <v>653.12</v>
      </c>
      <c r="H49" s="196">
        <v>662.82</v>
      </c>
      <c r="I49" s="196">
        <v>664.45</v>
      </c>
      <c r="J49" s="196">
        <v>658.77</v>
      </c>
      <c r="K49" s="196">
        <v>664.38</v>
      </c>
      <c r="L49" s="196">
        <v>664.94</v>
      </c>
      <c r="M49" s="196">
        <v>667.55</v>
      </c>
      <c r="N49" s="196">
        <v>667.55</v>
      </c>
      <c r="O49" s="196">
        <v>663.29</v>
      </c>
      <c r="P49" s="196">
        <v>658.69</v>
      </c>
      <c r="Q49" s="196">
        <v>665.95</v>
      </c>
      <c r="R49" s="196">
        <v>660.09</v>
      </c>
      <c r="S49" s="196">
        <v>650.41</v>
      </c>
      <c r="T49" s="196">
        <v>650.41</v>
      </c>
      <c r="U49" s="196">
        <v>658.79</v>
      </c>
      <c r="V49" s="196">
        <v>660.62</v>
      </c>
      <c r="W49" s="196">
        <v>648.69000000000005</v>
      </c>
      <c r="X49" s="196">
        <v>646.05999999999995</v>
      </c>
      <c r="Y49" s="196">
        <v>653.05999999999995</v>
      </c>
      <c r="Z49" s="196">
        <v>647.6</v>
      </c>
      <c r="AA49" s="196">
        <v>641.97</v>
      </c>
      <c r="AB49" s="196">
        <v>631.09</v>
      </c>
      <c r="AC49" s="196">
        <v>615.52</v>
      </c>
      <c r="AD49" s="196">
        <v>620.79999999999995</v>
      </c>
      <c r="AE49" s="196">
        <v>620.25</v>
      </c>
      <c r="AI49" s="249">
        <v>2.1262289410711448E-2</v>
      </c>
      <c r="AJ49" s="249">
        <v>-6.4905660377358676E-2</v>
      </c>
      <c r="AK49" s="201" t="s">
        <v>81</v>
      </c>
      <c r="AM49" s="135">
        <v>1.6789824203818714E-2</v>
      </c>
      <c r="AN49" s="135">
        <v>1.9867768595041468E-2</v>
      </c>
      <c r="AO49" s="201" t="s">
        <v>80</v>
      </c>
    </row>
    <row r="50" spans="1:41" x14ac:dyDescent="0.25">
      <c r="A50" s="135">
        <f t="shared" si="0"/>
        <v>1.4565540653393674E-2</v>
      </c>
      <c r="B50" s="135">
        <f t="shared" si="1"/>
        <v>1.9562654089398279E-2</v>
      </c>
      <c r="C50" s="246" t="s">
        <v>16</v>
      </c>
      <c r="D50" s="196">
        <v>93.29</v>
      </c>
      <c r="E50" s="196">
        <v>93.14</v>
      </c>
      <c r="F50" s="196">
        <v>92.87</v>
      </c>
      <c r="G50" s="196">
        <v>92.23</v>
      </c>
      <c r="H50" s="196">
        <v>93.21</v>
      </c>
      <c r="I50" s="196">
        <v>93.21</v>
      </c>
      <c r="J50" s="196">
        <v>93.79</v>
      </c>
      <c r="K50" s="196">
        <v>95.04</v>
      </c>
      <c r="L50" s="196">
        <v>95.04</v>
      </c>
      <c r="M50" s="196">
        <v>95.04</v>
      </c>
      <c r="N50" s="196">
        <v>95.04</v>
      </c>
      <c r="O50" s="196">
        <v>95.04</v>
      </c>
      <c r="P50" s="196">
        <v>95.11</v>
      </c>
      <c r="Q50" s="196">
        <v>95.11</v>
      </c>
      <c r="R50" s="196">
        <v>95.11</v>
      </c>
      <c r="S50" s="196">
        <v>94.44</v>
      </c>
      <c r="T50" s="196">
        <v>95.61</v>
      </c>
      <c r="U50" s="196">
        <v>96.07</v>
      </c>
      <c r="V50" s="196">
        <v>95.68</v>
      </c>
      <c r="W50" s="196">
        <v>96.26</v>
      </c>
      <c r="X50" s="196">
        <v>96.09</v>
      </c>
      <c r="Y50" s="196">
        <v>96.81</v>
      </c>
      <c r="Z50" s="196">
        <v>96.79</v>
      </c>
      <c r="AA50" s="196">
        <v>96.79</v>
      </c>
      <c r="AB50" s="196">
        <v>96.79</v>
      </c>
      <c r="AC50" s="196">
        <v>96.48</v>
      </c>
      <c r="AD50" s="196">
        <v>97.12</v>
      </c>
      <c r="AE50" s="196">
        <v>96.02</v>
      </c>
      <c r="AI50" s="135">
        <v>2.0885703561452931E-2</v>
      </c>
      <c r="AJ50" s="135">
        <v>4.1012658227848053E-2</v>
      </c>
      <c r="AK50" s="199" t="s">
        <v>53</v>
      </c>
      <c r="AM50" s="135">
        <v>1.432397507978618E-2</v>
      </c>
      <c r="AN50" s="135">
        <v>1.7729660199377939E-2</v>
      </c>
      <c r="AO50" s="201" t="s">
        <v>16</v>
      </c>
    </row>
    <row r="51" spans="1:41" x14ac:dyDescent="0.25">
      <c r="A51" s="135">
        <f t="shared" si="0"/>
        <v>1.6056420082040335E-2</v>
      </c>
      <c r="B51" s="135">
        <f t="shared" si="1"/>
        <v>2.0749704840614003E-2</v>
      </c>
      <c r="C51" s="246" t="s">
        <v>80</v>
      </c>
      <c r="D51" s="196">
        <v>12.1</v>
      </c>
      <c r="E51" s="196">
        <v>12.17</v>
      </c>
      <c r="F51" s="196">
        <v>12.16</v>
      </c>
      <c r="G51" s="196">
        <v>11.88</v>
      </c>
      <c r="H51" s="196">
        <v>12.11</v>
      </c>
      <c r="I51" s="196">
        <v>12.11</v>
      </c>
      <c r="J51" s="196">
        <v>12.28</v>
      </c>
      <c r="K51" s="196">
        <v>12.27</v>
      </c>
      <c r="L51" s="196">
        <v>12.27</v>
      </c>
      <c r="M51" s="196">
        <v>12.27</v>
      </c>
      <c r="N51" s="196">
        <v>12.27</v>
      </c>
      <c r="O51" s="196">
        <v>12.27</v>
      </c>
      <c r="P51" s="196">
        <v>12.34</v>
      </c>
      <c r="Q51" s="196">
        <v>12.42</v>
      </c>
      <c r="R51" s="196">
        <v>12.43</v>
      </c>
      <c r="S51" s="196">
        <v>12.33</v>
      </c>
      <c r="T51" s="196">
        <v>12.38</v>
      </c>
      <c r="U51" s="196">
        <v>12.47</v>
      </c>
      <c r="V51" s="196">
        <v>12.52</v>
      </c>
      <c r="W51" s="196">
        <v>12.83</v>
      </c>
      <c r="X51" s="196">
        <v>12.74</v>
      </c>
      <c r="Y51" s="196">
        <v>12.41</v>
      </c>
      <c r="Z51" s="196">
        <v>12.62</v>
      </c>
      <c r="AA51" s="196">
        <v>12.45</v>
      </c>
      <c r="AB51" s="196">
        <v>12.41</v>
      </c>
      <c r="AC51" s="196">
        <v>12.44</v>
      </c>
      <c r="AD51" s="196">
        <v>12.39</v>
      </c>
      <c r="AE51" s="196">
        <v>12.49</v>
      </c>
      <c r="AI51" s="135">
        <v>2.0327902622794589E-2</v>
      </c>
      <c r="AJ51" s="135">
        <v>4.7233115468409359E-2</v>
      </c>
      <c r="AK51" s="201" t="s">
        <v>75</v>
      </c>
      <c r="AM51" s="135">
        <v>2.9457809283076071E-2</v>
      </c>
      <c r="AN51" s="135">
        <v>1.7575679505345887E-2</v>
      </c>
      <c r="AO51" s="199" t="s">
        <v>336</v>
      </c>
    </row>
    <row r="52" spans="1:41" x14ac:dyDescent="0.25">
      <c r="A52" s="135">
        <f t="shared" si="0"/>
        <v>1.8487722828904787E-2</v>
      </c>
      <c r="B52" s="135">
        <f t="shared" si="1"/>
        <v>-5.7467661379373425E-5</v>
      </c>
      <c r="C52" s="247" t="s">
        <v>13</v>
      </c>
      <c r="D52" s="196">
        <v>478.53</v>
      </c>
      <c r="E52" s="196">
        <v>475.05</v>
      </c>
      <c r="F52" s="196">
        <v>474.56</v>
      </c>
      <c r="G52" s="196">
        <v>478.61</v>
      </c>
      <c r="H52" s="196">
        <v>485.17</v>
      </c>
      <c r="I52" s="196">
        <v>483.98</v>
      </c>
      <c r="J52" s="196">
        <v>485.92</v>
      </c>
      <c r="K52" s="196">
        <v>486.68</v>
      </c>
      <c r="L52" s="196">
        <v>486.85</v>
      </c>
      <c r="M52" s="196">
        <v>488.02</v>
      </c>
      <c r="N52" s="196">
        <v>488.02</v>
      </c>
      <c r="O52" s="196">
        <v>487.71</v>
      </c>
      <c r="P52" s="196">
        <v>487.1</v>
      </c>
      <c r="Q52" s="196">
        <v>487.48</v>
      </c>
      <c r="R52" s="196">
        <v>483.62</v>
      </c>
      <c r="S52" s="196">
        <v>472.94</v>
      </c>
      <c r="T52" s="196">
        <v>472.94</v>
      </c>
      <c r="U52" s="196">
        <v>472.85</v>
      </c>
      <c r="V52" s="196">
        <v>478.51</v>
      </c>
      <c r="W52" s="196">
        <v>483.47</v>
      </c>
      <c r="X52" s="196">
        <v>478.11</v>
      </c>
      <c r="Y52" s="196">
        <v>479.28</v>
      </c>
      <c r="Z52" s="196">
        <v>478.92</v>
      </c>
      <c r="AA52" s="196">
        <v>477.18</v>
      </c>
      <c r="AB52" s="196">
        <v>470.67</v>
      </c>
      <c r="AC52" s="196">
        <v>459.38</v>
      </c>
      <c r="AD52" s="196">
        <v>456.66</v>
      </c>
      <c r="AE52" s="196">
        <v>459.86</v>
      </c>
      <c r="AI52" s="135">
        <v>2.0155026739526717E-2</v>
      </c>
      <c r="AJ52" s="135">
        <v>4.7268951194184838E-2</v>
      </c>
      <c r="AK52" s="201" t="s">
        <v>36</v>
      </c>
      <c r="AM52" s="135">
        <v>1.4098893626555227E-2</v>
      </c>
      <c r="AN52" s="135">
        <v>1.7501202986510922E-2</v>
      </c>
      <c r="AO52" s="199" t="s">
        <v>83</v>
      </c>
    </row>
    <row r="53" spans="1:41" x14ac:dyDescent="0.25">
      <c r="A53" s="135">
        <f t="shared" si="0"/>
        <v>2.8024763395999786E-2</v>
      </c>
      <c r="B53" s="135">
        <f t="shared" si="1"/>
        <v>6.29615895676916E-3</v>
      </c>
      <c r="C53" s="246" t="s">
        <v>38</v>
      </c>
      <c r="D53" s="196">
        <v>46.23</v>
      </c>
      <c r="E53" s="196">
        <v>46.2</v>
      </c>
      <c r="F53" s="196">
        <v>45.67</v>
      </c>
      <c r="G53" s="196">
        <v>45.37</v>
      </c>
      <c r="H53" s="196">
        <v>45.13</v>
      </c>
      <c r="I53" s="196">
        <v>45</v>
      </c>
      <c r="J53" s="196">
        <v>44.65</v>
      </c>
      <c r="K53" s="196">
        <v>45.11</v>
      </c>
      <c r="L53" s="196">
        <v>45.24</v>
      </c>
      <c r="M53" s="196">
        <v>45.18</v>
      </c>
      <c r="N53" s="196">
        <v>45.18</v>
      </c>
      <c r="O53" s="196">
        <v>46.25</v>
      </c>
      <c r="P53" s="196">
        <v>45.54</v>
      </c>
      <c r="Q53" s="196">
        <v>45.49</v>
      </c>
      <c r="R53" s="196">
        <v>45.57</v>
      </c>
      <c r="S53" s="196">
        <v>47.2</v>
      </c>
      <c r="T53" s="196">
        <v>47.2</v>
      </c>
      <c r="U53" s="196">
        <v>46.72</v>
      </c>
      <c r="V53" s="196">
        <v>47.31</v>
      </c>
      <c r="W53" s="196">
        <v>47.88</v>
      </c>
      <c r="X53" s="196">
        <v>47.31</v>
      </c>
      <c r="Y53" s="196">
        <v>46.97</v>
      </c>
      <c r="Z53" s="196">
        <v>48.08</v>
      </c>
      <c r="AA53" s="196">
        <v>47.85</v>
      </c>
      <c r="AB53" s="196">
        <v>48.08</v>
      </c>
      <c r="AC53" s="196">
        <v>49.04</v>
      </c>
      <c r="AD53" s="196">
        <v>48.41</v>
      </c>
      <c r="AE53" s="196">
        <v>48.73</v>
      </c>
      <c r="AI53" s="135">
        <v>1.8774827104061795E-2</v>
      </c>
      <c r="AJ53" s="135">
        <v>1.6852481426448795E-2</v>
      </c>
      <c r="AK53" s="199" t="s">
        <v>31</v>
      </c>
      <c r="AM53" s="135">
        <v>3.2144114367302308E-2</v>
      </c>
      <c r="AN53" s="135">
        <v>1.7204301075268491E-2</v>
      </c>
      <c r="AO53" s="201" t="s">
        <v>214</v>
      </c>
    </row>
    <row r="54" spans="1:41" x14ac:dyDescent="0.25">
      <c r="A54" s="135">
        <f t="shared" si="0"/>
        <v>4.247334522957167E-2</v>
      </c>
      <c r="B54" s="135">
        <f t="shared" si="1"/>
        <v>4.0606514869135246E-2</v>
      </c>
      <c r="C54" s="246" t="s">
        <v>29</v>
      </c>
      <c r="D54" s="196">
        <v>352.6</v>
      </c>
      <c r="E54" s="196">
        <v>353.9</v>
      </c>
      <c r="F54" s="196">
        <v>350.1</v>
      </c>
      <c r="G54" s="196">
        <v>348.7</v>
      </c>
      <c r="H54" s="196">
        <v>354</v>
      </c>
      <c r="I54" s="196">
        <v>352.7</v>
      </c>
      <c r="J54" s="196">
        <v>359.7</v>
      </c>
      <c r="K54" s="196">
        <v>356.6</v>
      </c>
      <c r="L54" s="196">
        <v>353.5</v>
      </c>
      <c r="M54" s="196">
        <v>353.5</v>
      </c>
      <c r="N54" s="196">
        <v>353.5</v>
      </c>
      <c r="O54" s="196">
        <v>353.5</v>
      </c>
      <c r="P54" s="196">
        <v>351.6</v>
      </c>
      <c r="Q54" s="196">
        <v>354</v>
      </c>
      <c r="R54" s="196">
        <v>354</v>
      </c>
      <c r="S54" s="196">
        <v>369.4</v>
      </c>
      <c r="T54" s="196">
        <v>372.8</v>
      </c>
      <c r="U54" s="196">
        <v>371.9</v>
      </c>
      <c r="V54" s="196">
        <v>382.6</v>
      </c>
      <c r="W54" s="196">
        <v>393.8</v>
      </c>
      <c r="X54" s="196">
        <v>390.7</v>
      </c>
      <c r="Y54" s="196">
        <v>383.2</v>
      </c>
      <c r="Z54" s="196">
        <v>384</v>
      </c>
      <c r="AA54" s="196">
        <v>381.3</v>
      </c>
      <c r="AB54" s="196">
        <v>386.7</v>
      </c>
      <c r="AC54" s="196">
        <v>384.9</v>
      </c>
      <c r="AD54" s="196">
        <v>384.3</v>
      </c>
      <c r="AE54" s="196">
        <v>386.2</v>
      </c>
      <c r="AI54" s="135">
        <v>1.8155513529572429E-2</v>
      </c>
      <c r="AJ54" s="135">
        <v>3.1833810888252323E-2</v>
      </c>
      <c r="AK54" s="200" t="s">
        <v>14</v>
      </c>
      <c r="AM54" s="135">
        <v>1.8774827104061795E-2</v>
      </c>
      <c r="AN54" s="135">
        <v>1.6852481426448795E-2</v>
      </c>
      <c r="AO54" s="199" t="s">
        <v>31</v>
      </c>
    </row>
    <row r="55" spans="1:41" x14ac:dyDescent="0.25">
      <c r="A55" s="135">
        <f t="shared" si="0"/>
        <v>5.1587942677370706E-2</v>
      </c>
      <c r="B55" s="135">
        <f t="shared" si="1"/>
        <v>4.2235201789224686E-2</v>
      </c>
      <c r="C55" s="246" t="s">
        <v>43</v>
      </c>
      <c r="D55" s="196">
        <v>569.76</v>
      </c>
      <c r="E55" s="196">
        <v>570.77</v>
      </c>
      <c r="F55" s="196">
        <v>568.09</v>
      </c>
      <c r="G55" s="196">
        <v>566.63</v>
      </c>
      <c r="H55" s="196">
        <v>560.45000000000005</v>
      </c>
      <c r="I55" s="196">
        <v>559.52</v>
      </c>
      <c r="J55" s="196">
        <v>568.46</v>
      </c>
      <c r="K55" s="196">
        <v>579.26</v>
      </c>
      <c r="L55" s="196">
        <v>580.05999999999995</v>
      </c>
      <c r="M55" s="196">
        <v>582.35</v>
      </c>
      <c r="N55" s="196">
        <v>582.35</v>
      </c>
      <c r="O55" s="196">
        <v>577.37</v>
      </c>
      <c r="P55" s="196">
        <v>577.78</v>
      </c>
      <c r="Q55" s="196">
        <v>574.57000000000005</v>
      </c>
      <c r="R55" s="196">
        <v>570.21</v>
      </c>
      <c r="S55" s="196">
        <v>585.66</v>
      </c>
      <c r="T55" s="196">
        <v>585.66</v>
      </c>
      <c r="U55" s="196">
        <v>611.32000000000005</v>
      </c>
      <c r="V55" s="196">
        <v>610.61</v>
      </c>
      <c r="W55" s="196">
        <v>577.01</v>
      </c>
      <c r="X55" s="196">
        <v>590.79</v>
      </c>
      <c r="Y55" s="196">
        <v>618.82000000000005</v>
      </c>
      <c r="Z55" s="196">
        <v>630.1</v>
      </c>
      <c r="AA55" s="196">
        <v>629.32000000000005</v>
      </c>
      <c r="AB55" s="196">
        <v>625.5</v>
      </c>
      <c r="AC55" s="196">
        <v>653.14</v>
      </c>
      <c r="AD55" s="196">
        <v>654.61</v>
      </c>
      <c r="AE55" s="196">
        <v>666.9</v>
      </c>
      <c r="AI55" s="135">
        <v>1.797111242184362E-2</v>
      </c>
      <c r="AJ55" s="135">
        <v>4.2319523905356426E-3</v>
      </c>
      <c r="AK55" s="201" t="s">
        <v>77</v>
      </c>
      <c r="AM55" s="135">
        <v>1.7552233628875459E-2</v>
      </c>
      <c r="AN55" s="135">
        <v>1.6752767527675294E-2</v>
      </c>
      <c r="AO55" s="201" t="s">
        <v>23</v>
      </c>
    </row>
    <row r="56" spans="1:41" x14ac:dyDescent="0.25">
      <c r="A56" s="135">
        <f t="shared" si="0"/>
        <v>6.0812624312243185E-2</v>
      </c>
      <c r="B56" s="135">
        <f t="shared" si="1"/>
        <v>-0.1379780428112336</v>
      </c>
      <c r="C56" s="256" t="s">
        <v>220</v>
      </c>
      <c r="D56" s="196">
        <v>173.012</v>
      </c>
      <c r="E56" s="196">
        <v>155.096</v>
      </c>
      <c r="F56" s="196">
        <v>155.26600000000002</v>
      </c>
      <c r="G56" s="196">
        <v>158</v>
      </c>
      <c r="H56" s="196">
        <v>151.25</v>
      </c>
      <c r="I56" s="196">
        <v>153.38</v>
      </c>
      <c r="J56" s="196">
        <v>155.31</v>
      </c>
      <c r="K56" s="196">
        <v>152.1</v>
      </c>
      <c r="L56" s="196">
        <v>154.36000000000001</v>
      </c>
      <c r="M56" s="196">
        <v>152.59</v>
      </c>
      <c r="N56" s="196">
        <v>152.59</v>
      </c>
      <c r="O56" s="196">
        <v>153.88999999999999</v>
      </c>
      <c r="P56" s="196">
        <v>154.58000000000001</v>
      </c>
      <c r="Q56" s="196">
        <v>154.22999999999999</v>
      </c>
      <c r="R56" s="196">
        <v>153.19</v>
      </c>
      <c r="S56" s="196">
        <v>147.44999999999999</v>
      </c>
      <c r="T56" s="196">
        <v>147.44999999999999</v>
      </c>
      <c r="U56" s="196">
        <v>147.6</v>
      </c>
      <c r="V56" s="196">
        <v>148.81</v>
      </c>
      <c r="W56" s="196">
        <v>150.9</v>
      </c>
      <c r="X56" s="196">
        <v>146.19</v>
      </c>
      <c r="Y56" s="196">
        <v>141.80000000000001</v>
      </c>
      <c r="Z56" s="196">
        <v>142.96</v>
      </c>
      <c r="AA56" s="196">
        <v>142.63999999999999</v>
      </c>
      <c r="AB56" s="196">
        <v>138.19</v>
      </c>
      <c r="AC56" s="196">
        <v>134.61000000000001</v>
      </c>
      <c r="AD56" s="196">
        <v>131.16999999999999</v>
      </c>
      <c r="AE56" s="196">
        <v>127.31</v>
      </c>
      <c r="AI56" s="135">
        <v>1.7680485779160149E-2</v>
      </c>
      <c r="AJ56" s="135">
        <v>2.7472035794183336E-2</v>
      </c>
      <c r="AK56" s="199" t="s">
        <v>26</v>
      </c>
      <c r="AM56" s="135">
        <v>1.4656198949965588E-2</v>
      </c>
      <c r="AN56" s="135">
        <v>1.2637681159419989E-2</v>
      </c>
      <c r="AO56" s="201" t="s">
        <v>79</v>
      </c>
    </row>
    <row r="57" spans="1:41" x14ac:dyDescent="0.25">
      <c r="A57" s="135">
        <f>_xlfn.STDEV.S(D57:AF57)/AVERAGE(D57:AF57)</f>
        <v>1.6642887349004334E-2</v>
      </c>
      <c r="B57" s="135">
        <f>AVERAGE(D57:AF57)/D57-1</f>
        <v>3.7028384534516956E-2</v>
      </c>
      <c r="C57" s="246" t="s">
        <v>19</v>
      </c>
      <c r="D57" s="196">
        <v>24.46</v>
      </c>
      <c r="E57" s="196">
        <v>24.6</v>
      </c>
      <c r="F57" s="196">
        <v>24.56</v>
      </c>
      <c r="G57" s="196">
        <v>24.74</v>
      </c>
      <c r="H57" s="196">
        <v>25.18</v>
      </c>
      <c r="I57" s="196">
        <v>25.18</v>
      </c>
      <c r="J57" s="196">
        <v>24.8</v>
      </c>
      <c r="K57" s="196">
        <v>25.3</v>
      </c>
      <c r="L57" s="196">
        <v>25.3</v>
      </c>
      <c r="M57" s="196">
        <v>25.38</v>
      </c>
      <c r="N57" s="196">
        <v>25.38</v>
      </c>
      <c r="O57" s="196">
        <v>25.38</v>
      </c>
      <c r="P57" s="196">
        <v>25.56</v>
      </c>
      <c r="Q57" s="196">
        <v>25.84</v>
      </c>
      <c r="R57" s="196">
        <v>25.92</v>
      </c>
      <c r="S57" s="196">
        <v>25.8</v>
      </c>
      <c r="T57" s="196">
        <v>25.5</v>
      </c>
      <c r="U57" s="196">
        <v>25.52</v>
      </c>
      <c r="V57" s="196">
        <v>25.52</v>
      </c>
      <c r="W57" s="196">
        <v>25.4</v>
      </c>
      <c r="X57" s="196">
        <v>25.68</v>
      </c>
      <c r="Y57" s="196">
        <v>25.56</v>
      </c>
      <c r="Z57" s="196">
        <v>25.4</v>
      </c>
      <c r="AA57" s="196">
        <v>25.18</v>
      </c>
      <c r="AB57" s="196">
        <v>25.36</v>
      </c>
      <c r="AC57" s="196">
        <v>26</v>
      </c>
      <c r="AD57" s="196">
        <v>26.04</v>
      </c>
      <c r="AE57" s="196">
        <v>25.7</v>
      </c>
      <c r="AI57" s="135">
        <v>1.7589653577579717E-2</v>
      </c>
      <c r="AJ57" s="135">
        <v>-2.7340267459140533E-3</v>
      </c>
      <c r="AK57" s="201" t="s">
        <v>68</v>
      </c>
      <c r="AM57" s="135">
        <v>1.2855116803490732E-2</v>
      </c>
      <c r="AN57" s="135">
        <v>1.2629441624365301E-2</v>
      </c>
      <c r="AO57" s="199" t="s">
        <v>15</v>
      </c>
    </row>
    <row r="58" spans="1:41" x14ac:dyDescent="0.25">
      <c r="A58" s="135">
        <f t="shared" si="0"/>
        <v>3.0002113580207272E-2</v>
      </c>
      <c r="B58" s="135">
        <f t="shared" si="1"/>
        <v>5.3312274515565639E-2</v>
      </c>
      <c r="C58" s="247" t="s">
        <v>87</v>
      </c>
      <c r="D58" s="196">
        <v>175.02</v>
      </c>
      <c r="E58" s="196">
        <v>177.94</v>
      </c>
      <c r="F58" s="196">
        <v>176.46</v>
      </c>
      <c r="G58" s="196">
        <v>171.34</v>
      </c>
      <c r="H58" s="196">
        <v>174.09</v>
      </c>
      <c r="I58" s="196">
        <v>174.14</v>
      </c>
      <c r="J58" s="196">
        <v>180.99</v>
      </c>
      <c r="K58" s="196">
        <v>188.34</v>
      </c>
      <c r="L58" s="196">
        <v>189.21</v>
      </c>
      <c r="M58" s="196">
        <v>188.61</v>
      </c>
      <c r="N58" s="196">
        <v>188.61</v>
      </c>
      <c r="O58" s="196">
        <v>190.53</v>
      </c>
      <c r="P58" s="196">
        <v>188.22</v>
      </c>
      <c r="Q58" s="196">
        <v>187.54</v>
      </c>
      <c r="R58" s="196">
        <v>186.5</v>
      </c>
      <c r="S58" s="196">
        <v>188.85</v>
      </c>
      <c r="T58" s="196">
        <v>188.85</v>
      </c>
      <c r="U58" s="196">
        <v>188.12</v>
      </c>
      <c r="V58" s="196">
        <v>187.24</v>
      </c>
      <c r="W58" s="196">
        <v>189.11</v>
      </c>
      <c r="X58" s="196">
        <v>185.04</v>
      </c>
      <c r="Y58" s="196">
        <v>184.86</v>
      </c>
      <c r="Z58" s="196">
        <v>185.04</v>
      </c>
      <c r="AA58" s="196">
        <v>184.94</v>
      </c>
      <c r="AB58" s="196">
        <v>185.81</v>
      </c>
      <c r="AC58" s="196">
        <v>183.14</v>
      </c>
      <c r="AD58" s="196">
        <v>187.05</v>
      </c>
      <c r="AE58" s="196">
        <v>186.23</v>
      </c>
      <c r="AI58" s="135">
        <v>1.7552233628875459E-2</v>
      </c>
      <c r="AJ58" s="135">
        <v>1.6752767527675294E-2</v>
      </c>
      <c r="AK58" s="201" t="s">
        <v>23</v>
      </c>
      <c r="AM58" s="135">
        <v>4.9051077377578377E-2</v>
      </c>
      <c r="AN58" s="135">
        <v>1.0513595166163237E-2</v>
      </c>
      <c r="AO58" s="201" t="s">
        <v>92</v>
      </c>
    </row>
    <row r="59" spans="1:41" x14ac:dyDescent="0.25">
      <c r="A59" s="135">
        <f t="shared" si="0"/>
        <v>2.4839200056741118E-2</v>
      </c>
      <c r="B59" s="135">
        <f t="shared" si="1"/>
        <v>6.5547659887283949E-3</v>
      </c>
      <c r="C59" s="246" t="s">
        <v>20</v>
      </c>
      <c r="D59" s="196">
        <v>17.489999999999998</v>
      </c>
      <c r="E59" s="196">
        <v>17.38</v>
      </c>
      <c r="F59" s="196">
        <v>17.34</v>
      </c>
      <c r="G59" s="196">
        <v>17.3</v>
      </c>
      <c r="H59" s="196">
        <v>17.29</v>
      </c>
      <c r="I59" s="196">
        <v>17.32</v>
      </c>
      <c r="J59" s="196">
        <v>17.3</v>
      </c>
      <c r="K59" s="196">
        <v>17.34</v>
      </c>
      <c r="L59" s="196">
        <v>17.27</v>
      </c>
      <c r="M59" s="196">
        <v>17.28</v>
      </c>
      <c r="N59" s="196">
        <v>17.28</v>
      </c>
      <c r="O59" s="196">
        <v>17.18</v>
      </c>
      <c r="P59" s="196">
        <v>17.260000000000002</v>
      </c>
      <c r="Q59" s="196">
        <v>17.18</v>
      </c>
      <c r="R59" s="196">
        <v>17.32</v>
      </c>
      <c r="S59" s="196">
        <v>17.350000000000001</v>
      </c>
      <c r="T59" s="196">
        <v>17.350000000000001</v>
      </c>
      <c r="U59" s="196">
        <v>17.34</v>
      </c>
      <c r="V59" s="196">
        <v>17.600000000000001</v>
      </c>
      <c r="W59" s="196">
        <v>18.48</v>
      </c>
      <c r="X59" s="196">
        <v>17.98</v>
      </c>
      <c r="Y59" s="196">
        <v>17.95</v>
      </c>
      <c r="Z59" s="196">
        <v>18.079999999999998</v>
      </c>
      <c r="AA59" s="196">
        <v>18.16</v>
      </c>
      <c r="AB59" s="196">
        <v>18.52</v>
      </c>
      <c r="AC59" s="196">
        <v>18.329999999999998</v>
      </c>
      <c r="AD59" s="196">
        <v>18.260000000000002</v>
      </c>
      <c r="AE59" s="196">
        <v>18</v>
      </c>
      <c r="AI59" s="135">
        <v>1.7494412759788618E-2</v>
      </c>
      <c r="AJ59" s="135">
        <v>-2.4068919814446366E-2</v>
      </c>
      <c r="AK59" s="201" t="s">
        <v>34</v>
      </c>
      <c r="AM59" s="135">
        <v>2.7787929009831937E-2</v>
      </c>
      <c r="AN59" s="135">
        <v>1.0378787878787987E-2</v>
      </c>
      <c r="AO59" s="201" t="s">
        <v>82</v>
      </c>
    </row>
    <row r="60" spans="1:41" x14ac:dyDescent="0.25">
      <c r="A60" s="135">
        <f t="shared" si="0"/>
        <v>3.1031398261747466E-2</v>
      </c>
      <c r="B60" s="135">
        <f t="shared" si="1"/>
        <v>-3.9682539682541762E-3</v>
      </c>
      <c r="C60" s="246" t="s">
        <v>93</v>
      </c>
      <c r="D60" s="196">
        <v>0.36</v>
      </c>
      <c r="E60" s="196">
        <v>0.36</v>
      </c>
      <c r="F60" s="196">
        <v>0.35</v>
      </c>
      <c r="G60" s="196">
        <v>0.34</v>
      </c>
      <c r="H60" s="196">
        <v>0.34</v>
      </c>
      <c r="I60" s="196">
        <v>0.34</v>
      </c>
      <c r="J60" s="196">
        <v>0.35</v>
      </c>
      <c r="K60" s="196">
        <v>0.35</v>
      </c>
      <c r="L60" s="196">
        <v>0.35</v>
      </c>
      <c r="M60" s="196">
        <v>0.35</v>
      </c>
      <c r="N60" s="196">
        <v>0.35</v>
      </c>
      <c r="O60" s="196">
        <v>0.35</v>
      </c>
      <c r="P60" s="196">
        <v>0.35</v>
      </c>
      <c r="Q60" s="196">
        <v>0.35</v>
      </c>
      <c r="R60" s="196">
        <v>0.36</v>
      </c>
      <c r="S60" s="196">
        <v>0.37</v>
      </c>
      <c r="T60" s="196">
        <v>0.37</v>
      </c>
      <c r="U60" s="196">
        <v>0.37</v>
      </c>
      <c r="V60" s="196">
        <v>0.37</v>
      </c>
      <c r="W60" s="196">
        <v>0.38</v>
      </c>
      <c r="X60" s="196">
        <v>0.37</v>
      </c>
      <c r="Y60" s="196">
        <v>0.37</v>
      </c>
      <c r="Z60" s="196">
        <v>0.37</v>
      </c>
      <c r="AA60" s="196">
        <v>0.36</v>
      </c>
      <c r="AB60" s="196">
        <v>0.36</v>
      </c>
      <c r="AC60" s="196">
        <v>0.37</v>
      </c>
      <c r="AD60" s="196">
        <v>0.37</v>
      </c>
      <c r="AE60" s="196">
        <v>0.36</v>
      </c>
      <c r="AI60" s="135">
        <v>1.7434937793295618E-2</v>
      </c>
      <c r="AJ60" s="135">
        <v>3.5678990081156048E-3</v>
      </c>
      <c r="AK60" s="199" t="s">
        <v>78</v>
      </c>
      <c r="AM60" s="135">
        <v>1.2221890483355752E-2</v>
      </c>
      <c r="AN60" s="135">
        <v>1.0068920249425739E-2</v>
      </c>
      <c r="AO60" s="201" t="s">
        <v>71</v>
      </c>
    </row>
    <row r="61" spans="1:41" x14ac:dyDescent="0.25">
      <c r="A61" s="135">
        <f t="shared" si="0"/>
        <v>1.4418344181642612E-2</v>
      </c>
      <c r="B61" s="135">
        <f t="shared" si="1"/>
        <v>5.2431291755010712E-3</v>
      </c>
      <c r="C61" s="256" t="s">
        <v>215</v>
      </c>
      <c r="D61" s="196">
        <v>142.84</v>
      </c>
      <c r="E61" s="196">
        <v>144.44999999999999</v>
      </c>
      <c r="F61" s="196">
        <v>145.38</v>
      </c>
      <c r="G61" s="196">
        <v>148.04</v>
      </c>
      <c r="H61" s="196">
        <v>145.59</v>
      </c>
      <c r="I61" s="196">
        <v>145.52000000000001</v>
      </c>
      <c r="J61" s="196">
        <v>144.46</v>
      </c>
      <c r="K61" s="196">
        <v>143.19999999999999</v>
      </c>
      <c r="L61" s="196">
        <v>143.18</v>
      </c>
      <c r="M61" s="196">
        <v>144.49</v>
      </c>
      <c r="N61" s="196">
        <v>144.49</v>
      </c>
      <c r="O61" s="196">
        <v>144.74</v>
      </c>
      <c r="P61" s="196">
        <v>144.57</v>
      </c>
      <c r="Q61" s="196">
        <v>144.05000000000001</v>
      </c>
      <c r="R61" s="196">
        <v>143.31</v>
      </c>
      <c r="S61" s="196">
        <v>141.79</v>
      </c>
      <c r="T61" s="196">
        <v>141.79</v>
      </c>
      <c r="U61" s="196">
        <v>140.37</v>
      </c>
      <c r="V61" s="196">
        <v>139.91</v>
      </c>
      <c r="W61" s="196">
        <v>138.04</v>
      </c>
      <c r="X61" s="196">
        <v>141.53</v>
      </c>
      <c r="Y61" s="196">
        <v>141.87</v>
      </c>
      <c r="Z61" s="196">
        <v>143.66999999999999</v>
      </c>
      <c r="AA61" s="196">
        <v>143.46</v>
      </c>
      <c r="AB61" s="196">
        <v>144.24</v>
      </c>
      <c r="AC61" s="196">
        <v>146.35</v>
      </c>
      <c r="AD61" s="196">
        <v>144.63</v>
      </c>
      <c r="AE61" s="196">
        <v>144.53</v>
      </c>
      <c r="AI61" s="135">
        <v>1.7364008026321747E-2</v>
      </c>
      <c r="AJ61" s="135">
        <v>5.0685483870968051E-2</v>
      </c>
      <c r="AK61" s="201" t="s">
        <v>32</v>
      </c>
      <c r="AM61" s="135">
        <v>5.3217857778514628E-3</v>
      </c>
      <c r="AN61" s="135">
        <v>8.0613362541073208E-3</v>
      </c>
      <c r="AO61" s="199" t="s">
        <v>69</v>
      </c>
    </row>
    <row r="62" spans="1:41" x14ac:dyDescent="0.25">
      <c r="A62" s="135">
        <f>_xlfn.STDEV.S(D62:AF62)/AVERAGE(D62:AF62)</f>
        <v>4.1882632517489311E-2</v>
      </c>
      <c r="B62" s="135">
        <f>AVERAGE(D62:AF62)/D62-1</f>
        <v>-8.4767196631879704E-3</v>
      </c>
      <c r="C62" s="248" t="s">
        <v>88</v>
      </c>
      <c r="D62" s="196">
        <v>183.57</v>
      </c>
      <c r="E62" s="196">
        <v>187.05</v>
      </c>
      <c r="F62" s="196">
        <v>186.6</v>
      </c>
      <c r="G62" s="196">
        <v>178.7</v>
      </c>
      <c r="H62" s="196">
        <v>185.08</v>
      </c>
      <c r="I62" s="196">
        <v>185.69</v>
      </c>
      <c r="J62" s="196">
        <v>193.38</v>
      </c>
      <c r="K62" s="196">
        <v>193.81</v>
      </c>
      <c r="L62" s="196">
        <v>194.13</v>
      </c>
      <c r="M62" s="196">
        <v>194.17</v>
      </c>
      <c r="N62" s="196">
        <v>194.17</v>
      </c>
      <c r="O62" s="196">
        <v>188.71</v>
      </c>
      <c r="P62" s="196">
        <v>184.18</v>
      </c>
      <c r="Q62" s="196">
        <v>180.84</v>
      </c>
      <c r="R62" s="196">
        <v>177.75</v>
      </c>
      <c r="S62" s="196">
        <v>167.86</v>
      </c>
      <c r="T62" s="196">
        <v>167.86</v>
      </c>
      <c r="U62" s="196">
        <v>174.04</v>
      </c>
      <c r="V62" s="196">
        <v>179.71</v>
      </c>
      <c r="W62" s="196">
        <v>181.68</v>
      </c>
      <c r="X62" s="196">
        <v>176.86</v>
      </c>
      <c r="Y62" s="196">
        <v>177.49</v>
      </c>
      <c r="Z62" s="196">
        <v>178.26</v>
      </c>
      <c r="AA62" s="196">
        <v>179.41</v>
      </c>
      <c r="AB62" s="196">
        <v>178.96</v>
      </c>
      <c r="AC62" s="196">
        <v>178.4</v>
      </c>
      <c r="AD62" s="196">
        <v>177.07</v>
      </c>
      <c r="AE62" s="196">
        <v>170.96</v>
      </c>
      <c r="AI62" s="135">
        <v>1.6789824203818714E-2</v>
      </c>
      <c r="AJ62" s="135">
        <v>1.9867768595041468E-2</v>
      </c>
      <c r="AK62" s="201" t="s">
        <v>80</v>
      </c>
      <c r="AM62" s="135">
        <v>1.1859240567957506E-2</v>
      </c>
      <c r="AN62" s="135">
        <v>4.9250830668927659E-3</v>
      </c>
      <c r="AO62" s="201" t="s">
        <v>13</v>
      </c>
    </row>
    <row r="63" spans="1:41" x14ac:dyDescent="0.25">
      <c r="A63" s="135">
        <f t="shared" si="0"/>
        <v>2.4176232691726612E-2</v>
      </c>
      <c r="B63" s="135">
        <f t="shared" si="1"/>
        <v>-4.3319354988183956E-2</v>
      </c>
      <c r="C63" s="256" t="s">
        <v>219</v>
      </c>
      <c r="D63" s="196">
        <v>61.66</v>
      </c>
      <c r="E63" s="196">
        <v>61.7</v>
      </c>
      <c r="F63" s="196">
        <v>61.11</v>
      </c>
      <c r="G63" s="196">
        <v>60.95</v>
      </c>
      <c r="H63" s="196">
        <v>59.13</v>
      </c>
      <c r="I63" s="196">
        <v>59.44</v>
      </c>
      <c r="J63" s="196">
        <v>59.81</v>
      </c>
      <c r="K63" s="196">
        <v>59.08</v>
      </c>
      <c r="L63" s="196">
        <v>59.41</v>
      </c>
      <c r="M63" s="196">
        <v>60.04</v>
      </c>
      <c r="N63" s="196">
        <v>60.04</v>
      </c>
      <c r="O63" s="196">
        <v>59.97</v>
      </c>
      <c r="P63" s="196">
        <v>59.49</v>
      </c>
      <c r="Q63" s="196">
        <v>59.1</v>
      </c>
      <c r="R63" s="196">
        <v>58.38</v>
      </c>
      <c r="S63" s="196">
        <v>58.14</v>
      </c>
      <c r="T63" s="196">
        <v>58.14</v>
      </c>
      <c r="U63" s="196">
        <v>59.29</v>
      </c>
      <c r="V63" s="196">
        <v>59.81</v>
      </c>
      <c r="W63" s="196">
        <v>58.51</v>
      </c>
      <c r="X63" s="196">
        <v>58.27</v>
      </c>
      <c r="Y63" s="196">
        <v>57.66</v>
      </c>
      <c r="Z63" s="196">
        <v>57.42</v>
      </c>
      <c r="AA63" s="196">
        <v>57.29</v>
      </c>
      <c r="AB63" s="196">
        <v>56.56</v>
      </c>
      <c r="AC63" s="196">
        <v>57.66</v>
      </c>
      <c r="AD63" s="196">
        <v>56.74</v>
      </c>
      <c r="AE63" s="196">
        <v>56.89</v>
      </c>
      <c r="AI63" s="135">
        <v>1.651160926207507E-2</v>
      </c>
      <c r="AJ63" s="135">
        <v>-4.1970534069981635E-2</v>
      </c>
      <c r="AK63" s="199" t="s">
        <v>76</v>
      </c>
      <c r="AM63" s="135">
        <v>1.797111242184362E-2</v>
      </c>
      <c r="AN63" s="135">
        <v>4.2319523905356426E-3</v>
      </c>
      <c r="AO63" s="201" t="s">
        <v>77</v>
      </c>
    </row>
    <row r="64" spans="1:41" x14ac:dyDescent="0.25">
      <c r="A64" s="135">
        <f>_xlfn.STDEV.S(D64:AF64)/AVERAGE(D64:AF64)</f>
        <v>2.701244830658988E-2</v>
      </c>
      <c r="B64" s="135">
        <f>AVERAGE(D64:AF64)/D64-1</f>
        <v>8.2070707070707183E-3</v>
      </c>
      <c r="C64" s="246" t="s">
        <v>82</v>
      </c>
      <c r="D64" s="196">
        <v>15.84</v>
      </c>
      <c r="E64" s="196">
        <v>15.69</v>
      </c>
      <c r="F64" s="196">
        <v>15.34</v>
      </c>
      <c r="G64" s="196">
        <v>15.46</v>
      </c>
      <c r="H64" s="196">
        <v>15.44</v>
      </c>
      <c r="I64" s="196">
        <v>15.44</v>
      </c>
      <c r="J64" s="196">
        <v>15.6</v>
      </c>
      <c r="K64" s="196">
        <v>15.78</v>
      </c>
      <c r="L64" s="196">
        <v>15.78</v>
      </c>
      <c r="M64" s="196">
        <v>15.79</v>
      </c>
      <c r="N64" s="196">
        <v>15.79</v>
      </c>
      <c r="O64" s="196">
        <v>15.79</v>
      </c>
      <c r="P64" s="196">
        <v>15.89</v>
      </c>
      <c r="Q64" s="196">
        <v>15.98</v>
      </c>
      <c r="R64" s="196">
        <v>15.93</v>
      </c>
      <c r="S64" s="196">
        <v>16.41</v>
      </c>
      <c r="T64" s="196">
        <v>16.88</v>
      </c>
      <c r="U64" s="196">
        <v>16.98</v>
      </c>
      <c r="V64" s="196">
        <v>16.64</v>
      </c>
      <c r="W64" s="196">
        <v>16.260000000000002</v>
      </c>
      <c r="X64" s="196">
        <v>16.36</v>
      </c>
      <c r="Y64" s="196">
        <v>16.5</v>
      </c>
      <c r="Z64" s="196">
        <v>16.2</v>
      </c>
      <c r="AA64" s="196">
        <v>16.11</v>
      </c>
      <c r="AB64" s="196">
        <v>16.23</v>
      </c>
      <c r="AC64" s="196">
        <v>15.65</v>
      </c>
      <c r="AD64" s="196">
        <v>15.7</v>
      </c>
      <c r="AE64" s="196">
        <v>15.7</v>
      </c>
      <c r="AI64" s="135">
        <v>1.6205723137386347E-2</v>
      </c>
      <c r="AJ64" s="135">
        <v>5.1100070972331935E-4</v>
      </c>
      <c r="AK64" s="199" t="s">
        <v>67</v>
      </c>
      <c r="AM64" s="135">
        <v>1.4602489242187086E-2</v>
      </c>
      <c r="AN64" s="135">
        <v>3.9148697843740532E-3</v>
      </c>
      <c r="AO64" s="201" t="s">
        <v>215</v>
      </c>
    </row>
    <row r="65" spans="1:41" x14ac:dyDescent="0.25">
      <c r="A65" s="135">
        <f t="shared" si="0"/>
        <v>5.0452700818096691E-2</v>
      </c>
      <c r="B65" s="135">
        <f t="shared" si="1"/>
        <v>4.2455536431440288E-2</v>
      </c>
      <c r="C65" s="246" t="s">
        <v>42</v>
      </c>
      <c r="D65" s="196">
        <v>62.25</v>
      </c>
      <c r="E65" s="196">
        <v>63</v>
      </c>
      <c r="F65" s="196">
        <v>60.55</v>
      </c>
      <c r="G65" s="196">
        <v>60.6</v>
      </c>
      <c r="H65" s="196">
        <v>61.9</v>
      </c>
      <c r="I65" s="196">
        <v>61.9</v>
      </c>
      <c r="J65" s="196">
        <v>62.1</v>
      </c>
      <c r="K65" s="196">
        <v>62.5</v>
      </c>
      <c r="L65" s="196">
        <v>62.5</v>
      </c>
      <c r="M65" s="196">
        <v>62.7</v>
      </c>
      <c r="N65" s="196">
        <v>62.7</v>
      </c>
      <c r="O65" s="196">
        <v>62.7</v>
      </c>
      <c r="P65" s="196">
        <v>63.1</v>
      </c>
      <c r="Q65" s="196">
        <v>63.4</v>
      </c>
      <c r="R65" s="196">
        <v>63.5</v>
      </c>
      <c r="S65" s="196">
        <v>63.35</v>
      </c>
      <c r="T65" s="196">
        <v>64.900000000000006</v>
      </c>
      <c r="U65" s="196">
        <v>64.900000000000006</v>
      </c>
      <c r="V65" s="196">
        <v>66</v>
      </c>
      <c r="W65" s="196">
        <v>67.5</v>
      </c>
      <c r="X65" s="196">
        <v>68.150000000000006</v>
      </c>
      <c r="Y65" s="196">
        <v>68.45</v>
      </c>
      <c r="Z65" s="196">
        <v>69.150000000000006</v>
      </c>
      <c r="AA65" s="196">
        <v>68.400000000000006</v>
      </c>
      <c r="AB65" s="196">
        <v>69.05</v>
      </c>
      <c r="AC65" s="196">
        <v>69.5</v>
      </c>
      <c r="AD65" s="196">
        <v>70.05</v>
      </c>
      <c r="AE65" s="196">
        <v>72.2</v>
      </c>
      <c r="AI65" s="135">
        <v>1.5745413682660223E-2</v>
      </c>
      <c r="AJ65" s="135">
        <v>4.0280289242927036E-2</v>
      </c>
      <c r="AK65" s="200" t="s">
        <v>85</v>
      </c>
      <c r="AM65" s="135">
        <v>1.7434937793295618E-2</v>
      </c>
      <c r="AN65" s="135">
        <v>3.5678990081156048E-3</v>
      </c>
      <c r="AO65" s="199" t="s">
        <v>78</v>
      </c>
    </row>
    <row r="66" spans="1:41" x14ac:dyDescent="0.25">
      <c r="A66" s="135">
        <f t="shared" si="0"/>
        <v>5.8970147936384061E-2</v>
      </c>
      <c r="B66" s="135">
        <f t="shared" si="1"/>
        <v>9.2333398475669348E-2</v>
      </c>
      <c r="C66" s="248" t="s">
        <v>40</v>
      </c>
      <c r="D66" s="196">
        <v>1096.5</v>
      </c>
      <c r="E66" s="196">
        <v>1110</v>
      </c>
      <c r="F66" s="196">
        <v>1098</v>
      </c>
      <c r="G66" s="196">
        <v>1102</v>
      </c>
      <c r="H66" s="196">
        <v>1144</v>
      </c>
      <c r="I66" s="196">
        <v>1144</v>
      </c>
      <c r="J66" s="196">
        <v>1170</v>
      </c>
      <c r="K66" s="196">
        <v>1160</v>
      </c>
      <c r="L66" s="196">
        <v>1160</v>
      </c>
      <c r="M66" s="196">
        <v>1149.5</v>
      </c>
      <c r="N66" s="196">
        <v>1149.5</v>
      </c>
      <c r="O66" s="196">
        <v>1149.5</v>
      </c>
      <c r="P66" s="196">
        <v>1137</v>
      </c>
      <c r="Q66" s="196">
        <v>1153</v>
      </c>
      <c r="R66" s="196">
        <v>1150</v>
      </c>
      <c r="S66" s="196">
        <v>1197</v>
      </c>
      <c r="T66" s="196">
        <v>1235.5</v>
      </c>
      <c r="U66" s="196">
        <v>1231.5</v>
      </c>
      <c r="V66" s="196">
        <v>1247</v>
      </c>
      <c r="W66" s="196">
        <v>1259</v>
      </c>
      <c r="X66" s="196">
        <v>1272.5</v>
      </c>
      <c r="Y66" s="196">
        <v>1293.5</v>
      </c>
      <c r="Z66" s="196">
        <v>1295.5</v>
      </c>
      <c r="AA66" s="196">
        <v>1297.32</v>
      </c>
      <c r="AB66" s="196">
        <v>1305</v>
      </c>
      <c r="AC66" s="196">
        <v>1271.5</v>
      </c>
      <c r="AD66" s="196">
        <v>1273</v>
      </c>
      <c r="AE66" s="196">
        <v>1285.5</v>
      </c>
      <c r="AI66" s="135">
        <v>1.5593039837191309E-2</v>
      </c>
      <c r="AJ66" s="135">
        <v>3.4341782502044005E-2</v>
      </c>
      <c r="AK66" s="199" t="s">
        <v>19</v>
      </c>
      <c r="AM66" s="135">
        <v>2.3063792497763785E-2</v>
      </c>
      <c r="AN66" s="135">
        <v>2.4928530588907982E-3</v>
      </c>
      <c r="AO66" s="199" t="s">
        <v>20</v>
      </c>
    </row>
    <row r="67" spans="1:41" x14ac:dyDescent="0.25">
      <c r="A67" s="135">
        <f>_xlfn.STDEV.S(D67:AF67)/AVERAGE(D67:AF67)</f>
        <v>3.4033603606861536E-2</v>
      </c>
      <c r="B67" s="135">
        <f>AVERAGE(D67:AF67)/D67-1</f>
        <v>4.5975196302634247E-2</v>
      </c>
      <c r="C67" s="246" t="s">
        <v>30</v>
      </c>
      <c r="D67" s="196">
        <v>178.66</v>
      </c>
      <c r="E67" s="196">
        <v>181.4</v>
      </c>
      <c r="F67" s="196">
        <v>179.9</v>
      </c>
      <c r="G67" s="196">
        <v>177.58</v>
      </c>
      <c r="H67" s="196">
        <v>179.28</v>
      </c>
      <c r="I67" s="196">
        <v>178.29</v>
      </c>
      <c r="J67" s="196">
        <v>182.01</v>
      </c>
      <c r="K67" s="196">
        <v>185.87</v>
      </c>
      <c r="L67" s="196">
        <v>185.76</v>
      </c>
      <c r="M67" s="196">
        <v>186.38</v>
      </c>
      <c r="N67" s="196">
        <v>186.38</v>
      </c>
      <c r="O67" s="196">
        <v>185.17</v>
      </c>
      <c r="P67" s="196">
        <v>184.42</v>
      </c>
      <c r="Q67" s="196">
        <v>184.01</v>
      </c>
      <c r="R67" s="196">
        <v>183.4</v>
      </c>
      <c r="S67" s="196">
        <v>187.25</v>
      </c>
      <c r="T67" s="196">
        <v>187.25</v>
      </c>
      <c r="U67" s="196">
        <v>188.26</v>
      </c>
      <c r="V67" s="196">
        <v>190.4</v>
      </c>
      <c r="W67" s="196">
        <v>185.73</v>
      </c>
      <c r="X67" s="196">
        <v>187.17</v>
      </c>
      <c r="Y67" s="196">
        <v>188.5</v>
      </c>
      <c r="Z67" s="196">
        <v>190.88</v>
      </c>
      <c r="AA67" s="196">
        <v>193.85</v>
      </c>
      <c r="AB67" s="196">
        <v>194.08</v>
      </c>
      <c r="AC67" s="196">
        <v>198.84</v>
      </c>
      <c r="AD67" s="196">
        <v>199.83</v>
      </c>
      <c r="AE67" s="196">
        <v>201.92</v>
      </c>
      <c r="AI67" s="249">
        <v>1.5544614764957847E-2</v>
      </c>
      <c r="AJ67" s="249">
        <v>2.7827510917030285E-2</v>
      </c>
      <c r="AK67" s="200" t="s">
        <v>216</v>
      </c>
      <c r="AM67" s="135">
        <v>7.3760173439386852E-3</v>
      </c>
      <c r="AN67" s="135">
        <v>2.1316614420059388E-3</v>
      </c>
      <c r="AO67" s="201" t="s">
        <v>18</v>
      </c>
    </row>
    <row r="68" spans="1:41" x14ac:dyDescent="0.25">
      <c r="A68" s="135">
        <f t="shared" ref="A68:A84" si="2">_xlfn.STDEV.S(D68:AF68)/AVERAGE(D68:AF68)</f>
        <v>0.13538426795618383</v>
      </c>
      <c r="B68" s="135">
        <f t="shared" ref="B68:B84" si="3">AVERAGE(D68:AF68)/D68-1</f>
        <v>0.14296617800163181</v>
      </c>
      <c r="C68" s="246" t="s">
        <v>57</v>
      </c>
      <c r="D68" s="196">
        <v>507.7</v>
      </c>
      <c r="E68" s="196">
        <v>509.4</v>
      </c>
      <c r="F68" s="196">
        <v>483.95</v>
      </c>
      <c r="G68" s="196">
        <v>491.2</v>
      </c>
      <c r="H68" s="196">
        <v>504.1</v>
      </c>
      <c r="I68" s="196">
        <v>504.1</v>
      </c>
      <c r="J68" s="196">
        <v>508.7</v>
      </c>
      <c r="K68" s="196">
        <v>529.20000000000005</v>
      </c>
      <c r="L68" s="196">
        <v>529.20000000000005</v>
      </c>
      <c r="M68" s="196">
        <v>529.20000000000005</v>
      </c>
      <c r="N68" s="196">
        <v>529.20000000000005</v>
      </c>
      <c r="O68" s="196">
        <v>529.20000000000005</v>
      </c>
      <c r="P68" s="196">
        <v>523.70000000000005</v>
      </c>
      <c r="Q68" s="196">
        <v>537.6</v>
      </c>
      <c r="R68" s="196">
        <v>537.6</v>
      </c>
      <c r="S68" s="196">
        <v>559.79999999999995</v>
      </c>
      <c r="T68" s="196">
        <v>594.6</v>
      </c>
      <c r="U68" s="196">
        <v>596.9</v>
      </c>
      <c r="V68" s="196">
        <v>596.9</v>
      </c>
      <c r="W68" s="196">
        <v>626.70000000000005</v>
      </c>
      <c r="X68" s="196">
        <v>641.4</v>
      </c>
      <c r="Y68" s="196">
        <v>682</v>
      </c>
      <c r="Z68" s="196">
        <v>695.8</v>
      </c>
      <c r="AA68" s="196">
        <v>698.5</v>
      </c>
      <c r="AB68" s="196">
        <v>704.1</v>
      </c>
      <c r="AC68" s="196">
        <v>693.8</v>
      </c>
      <c r="AD68" s="196">
        <v>695.6</v>
      </c>
      <c r="AE68" s="196">
        <v>707.8</v>
      </c>
      <c r="AI68" s="135">
        <v>1.4656198949965588E-2</v>
      </c>
      <c r="AJ68" s="135">
        <v>1.2637681159419989E-2</v>
      </c>
      <c r="AK68" s="201" t="s">
        <v>79</v>
      </c>
      <c r="AM68" s="135">
        <v>2.3906829559509731E-2</v>
      </c>
      <c r="AN68" s="135">
        <v>5.7105775470489561E-4</v>
      </c>
      <c r="AO68" s="201" t="s">
        <v>38</v>
      </c>
    </row>
    <row r="69" spans="1:41" x14ac:dyDescent="0.25">
      <c r="A69" s="135">
        <f>_xlfn.STDEV.S(D69:AF69)/AVERAGE(D69:AF69)</f>
        <v>1.4983558880309479E-2</v>
      </c>
      <c r="B69" s="135">
        <f>AVERAGE(D69:AF69)/D69-1</f>
        <v>2.0143728222996593E-2</v>
      </c>
      <c r="C69" s="246" t="s">
        <v>84</v>
      </c>
      <c r="D69" s="196">
        <v>3.28</v>
      </c>
      <c r="E69" s="196">
        <v>3.33</v>
      </c>
      <c r="F69" s="196">
        <v>3.34</v>
      </c>
      <c r="G69" s="196">
        <v>3.35</v>
      </c>
      <c r="H69" s="196">
        <v>3.37</v>
      </c>
      <c r="I69" s="196">
        <v>3.37</v>
      </c>
      <c r="J69" s="196">
        <v>3.42</v>
      </c>
      <c r="K69" s="196">
        <v>3.35</v>
      </c>
      <c r="L69" s="196">
        <v>3.35</v>
      </c>
      <c r="M69" s="196">
        <v>3.35</v>
      </c>
      <c r="N69" s="196">
        <v>3.35</v>
      </c>
      <c r="O69" s="196">
        <v>3.35</v>
      </c>
      <c r="P69" s="196">
        <v>3.33</v>
      </c>
      <c r="Q69" s="196">
        <v>3.38</v>
      </c>
      <c r="R69" s="196">
        <v>3.37</v>
      </c>
      <c r="S69" s="196">
        <v>3.45</v>
      </c>
      <c r="T69" s="196">
        <v>3.41</v>
      </c>
      <c r="U69" s="196">
        <v>3.43</v>
      </c>
      <c r="V69" s="196">
        <v>3.4</v>
      </c>
      <c r="W69" s="196">
        <v>3.29</v>
      </c>
      <c r="X69" s="196">
        <v>3.33</v>
      </c>
      <c r="Y69" s="196">
        <v>3.3</v>
      </c>
      <c r="Z69" s="196">
        <v>3.33</v>
      </c>
      <c r="AA69" s="196">
        <v>3.35</v>
      </c>
      <c r="AB69" s="196">
        <v>3.33</v>
      </c>
      <c r="AC69" s="196">
        <v>3.29</v>
      </c>
      <c r="AD69" s="196">
        <v>3.25</v>
      </c>
      <c r="AE69" s="196">
        <v>3.24</v>
      </c>
      <c r="AI69" s="135">
        <v>1.4602489242187086E-2</v>
      </c>
      <c r="AJ69" s="135">
        <v>3.9148697843740532E-3</v>
      </c>
      <c r="AK69" s="201" t="s">
        <v>215</v>
      </c>
      <c r="AM69" s="135">
        <v>1.6205723137386347E-2</v>
      </c>
      <c r="AN69" s="135">
        <v>5.1100070972331935E-4</v>
      </c>
      <c r="AO69" s="199" t="s">
        <v>67</v>
      </c>
    </row>
    <row r="70" spans="1:41" x14ac:dyDescent="0.25">
      <c r="A70" s="135">
        <f t="shared" si="2"/>
        <v>2.4000422433885199E-2</v>
      </c>
      <c r="B70" s="135">
        <f t="shared" si="3"/>
        <v>5.2551550215101717E-2</v>
      </c>
      <c r="C70" s="248" t="s">
        <v>36</v>
      </c>
      <c r="D70" s="196">
        <v>9.6300000000000008</v>
      </c>
      <c r="E70" s="196">
        <v>9.82</v>
      </c>
      <c r="F70" s="196">
        <v>9.82</v>
      </c>
      <c r="G70" s="196">
        <v>9.8699999999999992</v>
      </c>
      <c r="H70" s="196">
        <v>9.99</v>
      </c>
      <c r="I70" s="196">
        <v>9.99</v>
      </c>
      <c r="J70" s="196">
        <v>9.9700000000000006</v>
      </c>
      <c r="K70" s="196">
        <v>10</v>
      </c>
      <c r="L70" s="196">
        <v>10</v>
      </c>
      <c r="M70" s="196">
        <v>9.99</v>
      </c>
      <c r="N70" s="196">
        <v>9.99</v>
      </c>
      <c r="O70" s="196">
        <v>9.99</v>
      </c>
      <c r="P70" s="196">
        <v>9.9700000000000006</v>
      </c>
      <c r="Q70" s="196">
        <v>10.130000000000001</v>
      </c>
      <c r="R70" s="196">
        <v>10.07</v>
      </c>
      <c r="S70" s="196">
        <v>10.25</v>
      </c>
      <c r="T70" s="196">
        <v>10.23</v>
      </c>
      <c r="U70" s="196">
        <v>10.33</v>
      </c>
      <c r="V70" s="196">
        <v>10.31</v>
      </c>
      <c r="W70" s="196">
        <v>10.130000000000001</v>
      </c>
      <c r="X70" s="196">
        <v>10.210000000000001</v>
      </c>
      <c r="Y70" s="196">
        <v>10.25</v>
      </c>
      <c r="Z70" s="196">
        <v>10.31</v>
      </c>
      <c r="AA70" s="196">
        <v>10.4</v>
      </c>
      <c r="AB70" s="196">
        <v>10.48</v>
      </c>
      <c r="AC70" s="196">
        <v>10.6</v>
      </c>
      <c r="AD70" s="196">
        <v>10.54</v>
      </c>
      <c r="AE70" s="196">
        <v>10.54</v>
      </c>
      <c r="AI70" s="135">
        <v>1.432397507978618E-2</v>
      </c>
      <c r="AJ70" s="135">
        <v>1.7729660199377939E-2</v>
      </c>
      <c r="AK70" s="201" t="s">
        <v>16</v>
      </c>
      <c r="AM70" s="135">
        <v>1.3367578389193781E-2</v>
      </c>
      <c r="AN70" s="135">
        <v>1.9094548814280188E-4</v>
      </c>
      <c r="AO70" s="199" t="s">
        <v>297</v>
      </c>
    </row>
    <row r="71" spans="1:41" x14ac:dyDescent="0.25">
      <c r="A71" s="135">
        <f t="shared" si="2"/>
        <v>1.6578397540335667E-2</v>
      </c>
      <c r="B71" s="135">
        <f t="shared" si="3"/>
        <v>-7.1376056855778636E-3</v>
      </c>
      <c r="C71" s="256" t="s">
        <v>221</v>
      </c>
      <c r="D71" s="196">
        <v>244.83</v>
      </c>
      <c r="E71" s="196">
        <v>246.41</v>
      </c>
      <c r="F71" s="196">
        <v>242.12</v>
      </c>
      <c r="G71" s="196">
        <v>241.73</v>
      </c>
      <c r="H71" s="196">
        <v>244.42</v>
      </c>
      <c r="I71" s="196">
        <v>244.31</v>
      </c>
      <c r="J71" s="196">
        <v>244.33</v>
      </c>
      <c r="K71" s="196">
        <v>244.78</v>
      </c>
      <c r="L71" s="196">
        <v>244.96</v>
      </c>
      <c r="M71" s="196">
        <v>245.6</v>
      </c>
      <c r="N71" s="196">
        <v>245.6</v>
      </c>
      <c r="O71" s="196">
        <v>246.56</v>
      </c>
      <c r="P71" s="196">
        <v>246.04</v>
      </c>
      <c r="Q71" s="196">
        <v>244.59</v>
      </c>
      <c r="R71" s="196">
        <v>242.91</v>
      </c>
      <c r="S71" s="196">
        <v>236.92</v>
      </c>
      <c r="T71" s="196">
        <v>236.92</v>
      </c>
      <c r="U71" s="196">
        <v>240.44</v>
      </c>
      <c r="V71" s="196">
        <v>237.98</v>
      </c>
      <c r="W71" s="196">
        <v>243.43</v>
      </c>
      <c r="X71" s="196">
        <v>241.03</v>
      </c>
      <c r="Y71" s="196">
        <v>247.11</v>
      </c>
      <c r="Z71" s="196">
        <v>249.04</v>
      </c>
      <c r="AA71" s="196">
        <v>248.84</v>
      </c>
      <c r="AB71" s="196">
        <v>247.1</v>
      </c>
      <c r="AC71" s="196">
        <v>238.88</v>
      </c>
      <c r="AD71" s="196">
        <v>235.84</v>
      </c>
      <c r="AE71" s="196">
        <v>233.59</v>
      </c>
      <c r="AI71" s="135">
        <v>1.4098893626555227E-2</v>
      </c>
      <c r="AJ71" s="135">
        <v>1.7501202986510922E-2</v>
      </c>
      <c r="AK71" s="199" t="s">
        <v>83</v>
      </c>
      <c r="AM71" s="249">
        <v>3.8251967454087051E-2</v>
      </c>
      <c r="AN71" s="249">
        <v>-1.6597510373483892E-4</v>
      </c>
      <c r="AO71" s="201" t="s">
        <v>91</v>
      </c>
    </row>
    <row r="72" spans="1:41" x14ac:dyDescent="0.25">
      <c r="A72" s="135">
        <f t="shared" si="2"/>
        <v>2.7004284512881557E-2</v>
      </c>
      <c r="B72" s="135">
        <f t="shared" si="3"/>
        <v>3.9133738601823564E-2</v>
      </c>
      <c r="C72" s="246" t="s">
        <v>22</v>
      </c>
      <c r="D72" s="196">
        <v>3.76</v>
      </c>
      <c r="E72" s="196">
        <v>3.85</v>
      </c>
      <c r="F72" s="196">
        <v>3.8</v>
      </c>
      <c r="G72" s="196">
        <v>3.77</v>
      </c>
      <c r="H72" s="196">
        <v>3.8</v>
      </c>
      <c r="I72" s="196">
        <v>3.8</v>
      </c>
      <c r="J72" s="196">
        <v>3.81</v>
      </c>
      <c r="K72" s="196">
        <v>3.83</v>
      </c>
      <c r="L72" s="196">
        <v>3.83</v>
      </c>
      <c r="M72" s="196">
        <v>3.83</v>
      </c>
      <c r="N72" s="196">
        <v>3.83</v>
      </c>
      <c r="O72" s="196">
        <v>3.83</v>
      </c>
      <c r="P72" s="196">
        <v>3.83</v>
      </c>
      <c r="Q72" s="196">
        <v>3.86</v>
      </c>
      <c r="R72" s="196">
        <v>3.87</v>
      </c>
      <c r="S72" s="196">
        <v>3.93</v>
      </c>
      <c r="T72" s="196">
        <v>3.94</v>
      </c>
      <c r="U72" s="196">
        <v>4</v>
      </c>
      <c r="V72" s="196">
        <v>4.0599999999999996</v>
      </c>
      <c r="W72" s="196">
        <v>4.13</v>
      </c>
      <c r="X72" s="196">
        <v>4.08</v>
      </c>
      <c r="Y72" s="196">
        <v>4.03</v>
      </c>
      <c r="Z72" s="196">
        <v>4.03</v>
      </c>
      <c r="AA72" s="196">
        <v>3.94</v>
      </c>
      <c r="AB72" s="196">
        <v>4</v>
      </c>
      <c r="AC72" s="196">
        <v>3.97</v>
      </c>
      <c r="AD72" s="196">
        <v>3.97</v>
      </c>
      <c r="AE72" s="196">
        <v>4.0199999999999996</v>
      </c>
      <c r="AI72" s="135">
        <v>1.4087865414271542E-2</v>
      </c>
      <c r="AJ72" s="135">
        <v>-8.1720859763916298E-3</v>
      </c>
      <c r="AK72" s="200" t="s">
        <v>218</v>
      </c>
      <c r="AM72" s="135">
        <v>8.364998853933157E-3</v>
      </c>
      <c r="AN72" s="135">
        <v>-1.9047619047615205E-3</v>
      </c>
      <c r="AO72" s="201" t="s">
        <v>86</v>
      </c>
    </row>
    <row r="73" spans="1:41" x14ac:dyDescent="0.25">
      <c r="A73" s="135">
        <f>_xlfn.STDEV.S(D73:AF73)/AVERAGE(D73:AF73)</f>
        <v>3.0366705599864183E-2</v>
      </c>
      <c r="B73" s="135">
        <f>AVERAGE(D73:AF73)/D73-1</f>
        <v>5.1603845826597272E-2</v>
      </c>
      <c r="C73" s="246" t="s">
        <v>17</v>
      </c>
      <c r="D73" s="196">
        <v>16.79</v>
      </c>
      <c r="E73" s="196">
        <v>16.760000000000002</v>
      </c>
      <c r="F73" s="196">
        <v>16.91</v>
      </c>
      <c r="G73" s="196">
        <v>16.54</v>
      </c>
      <c r="H73" s="196">
        <v>16.940000000000001</v>
      </c>
      <c r="I73" s="196">
        <v>16.940000000000001</v>
      </c>
      <c r="J73" s="196">
        <v>17.16</v>
      </c>
      <c r="K73" s="196">
        <v>17.690000000000001</v>
      </c>
      <c r="L73" s="196">
        <v>17.690000000000001</v>
      </c>
      <c r="M73" s="196">
        <v>17.68</v>
      </c>
      <c r="N73" s="196">
        <v>17.68</v>
      </c>
      <c r="O73" s="196">
        <v>17.68</v>
      </c>
      <c r="P73" s="196">
        <v>17.98</v>
      </c>
      <c r="Q73" s="196">
        <v>18.05</v>
      </c>
      <c r="R73" s="196">
        <v>18.149999999999999</v>
      </c>
      <c r="S73" s="196">
        <v>18.2</v>
      </c>
      <c r="T73" s="196">
        <v>18.079999999999998</v>
      </c>
      <c r="U73" s="196">
        <v>18.28</v>
      </c>
      <c r="V73" s="196">
        <v>18.04</v>
      </c>
      <c r="W73" s="196">
        <v>18.649999999999999</v>
      </c>
      <c r="X73" s="196">
        <v>17.96</v>
      </c>
      <c r="Y73" s="196">
        <v>17.829999999999998</v>
      </c>
      <c r="Z73" s="196">
        <v>17.43</v>
      </c>
      <c r="AA73" s="196">
        <v>17.52</v>
      </c>
      <c r="AB73" s="196">
        <v>17.8</v>
      </c>
      <c r="AC73" s="196">
        <v>18.2</v>
      </c>
      <c r="AD73" s="196">
        <v>17.98</v>
      </c>
      <c r="AE73" s="196">
        <v>17.77</v>
      </c>
      <c r="AI73" s="135">
        <v>1.376148857344095E-2</v>
      </c>
      <c r="AJ73" s="135">
        <v>2.7777777777777901E-2</v>
      </c>
      <c r="AK73" s="201" t="s">
        <v>70</v>
      </c>
      <c r="AM73" s="135">
        <v>1.7589653577579717E-2</v>
      </c>
      <c r="AN73" s="135">
        <v>-2.7340267459140533E-3</v>
      </c>
      <c r="AO73" s="201" t="s">
        <v>68</v>
      </c>
    </row>
    <row r="74" spans="1:41" x14ac:dyDescent="0.25">
      <c r="A74" s="135">
        <f t="shared" si="2"/>
        <v>5.9592468018731075E-2</v>
      </c>
      <c r="B74" s="135">
        <f t="shared" si="3"/>
        <v>-1.8597191807290914E-2</v>
      </c>
      <c r="C74" s="247" t="s">
        <v>78</v>
      </c>
      <c r="D74" s="196">
        <v>277.25</v>
      </c>
      <c r="E74" s="196">
        <v>277.25</v>
      </c>
      <c r="F74" s="196">
        <v>286</v>
      </c>
      <c r="G74" s="196">
        <v>271.66000000000003</v>
      </c>
      <c r="H74" s="196">
        <v>270.45</v>
      </c>
      <c r="I74" s="196">
        <v>270.45</v>
      </c>
      <c r="J74" s="196">
        <v>282</v>
      </c>
      <c r="K74" s="196">
        <v>278.7</v>
      </c>
      <c r="L74" s="196">
        <v>278.7</v>
      </c>
      <c r="M74" s="196">
        <v>276.39999999999998</v>
      </c>
      <c r="N74" s="196">
        <v>285.32</v>
      </c>
      <c r="O74" s="196">
        <v>278.8</v>
      </c>
      <c r="P74" s="196">
        <v>279.44</v>
      </c>
      <c r="Q74" s="196">
        <v>279.22000000000003</v>
      </c>
      <c r="R74" s="196">
        <v>275</v>
      </c>
      <c r="S74" s="196">
        <v>275</v>
      </c>
      <c r="T74" s="196">
        <v>277.99</v>
      </c>
      <c r="U74" s="196">
        <v>280</v>
      </c>
      <c r="V74" s="196">
        <v>285</v>
      </c>
      <c r="W74" s="196">
        <v>291</v>
      </c>
      <c r="X74" s="196">
        <v>273.5</v>
      </c>
      <c r="Y74" s="196">
        <v>278</v>
      </c>
      <c r="Z74" s="196">
        <v>276</v>
      </c>
      <c r="AA74" s="196">
        <v>276.85000000000002</v>
      </c>
      <c r="AB74" s="196">
        <v>235</v>
      </c>
      <c r="AC74" s="196">
        <v>234.3</v>
      </c>
      <c r="AD74" s="196">
        <v>234.2</v>
      </c>
      <c r="AE74" s="196">
        <v>235.15</v>
      </c>
      <c r="AI74" s="135">
        <v>1.3560152945599381E-2</v>
      </c>
      <c r="AJ74" s="135">
        <v>3.6487804878048813E-2</v>
      </c>
      <c r="AK74" s="199" t="s">
        <v>74</v>
      </c>
      <c r="AM74" s="135">
        <v>1.3512684514788719E-2</v>
      </c>
      <c r="AN74" s="135">
        <v>-3.7168647633053498E-3</v>
      </c>
      <c r="AO74" s="201" t="s">
        <v>221</v>
      </c>
    </row>
    <row r="75" spans="1:41" x14ac:dyDescent="0.25">
      <c r="A75" s="135">
        <f t="shared" si="2"/>
        <v>2.3673241660619029E-2</v>
      </c>
      <c r="B75" s="135">
        <f t="shared" si="3"/>
        <v>2.2264009764381143E-2</v>
      </c>
      <c r="C75" s="247" t="s">
        <v>31</v>
      </c>
      <c r="D75" s="196">
        <v>6730</v>
      </c>
      <c r="E75" s="196">
        <v>6765</v>
      </c>
      <c r="F75" s="196">
        <v>6650</v>
      </c>
      <c r="G75" s="196">
        <v>6655</v>
      </c>
      <c r="H75" s="196">
        <v>6730</v>
      </c>
      <c r="I75" s="196">
        <v>6730</v>
      </c>
      <c r="J75" s="196">
        <v>6850</v>
      </c>
      <c r="K75" s="196">
        <v>6775</v>
      </c>
      <c r="L75" s="196">
        <v>6775</v>
      </c>
      <c r="M75" s="196">
        <v>6775</v>
      </c>
      <c r="N75" s="196">
        <v>6775</v>
      </c>
      <c r="O75" s="196">
        <v>6775</v>
      </c>
      <c r="P75" s="196">
        <v>6815</v>
      </c>
      <c r="Q75" s="196">
        <v>6860</v>
      </c>
      <c r="R75" s="196">
        <v>6820</v>
      </c>
      <c r="S75" s="196">
        <v>6840</v>
      </c>
      <c r="T75" s="196">
        <v>6790</v>
      </c>
      <c r="U75" s="196">
        <v>6855</v>
      </c>
      <c r="V75" s="196">
        <v>6930</v>
      </c>
      <c r="W75" s="196">
        <v>6950</v>
      </c>
      <c r="X75" s="196">
        <v>6940</v>
      </c>
      <c r="Y75" s="196">
        <v>7110</v>
      </c>
      <c r="Z75" s="196">
        <v>7122.44</v>
      </c>
      <c r="AA75" s="196">
        <v>7052.99</v>
      </c>
      <c r="AB75" s="196">
        <v>7015</v>
      </c>
      <c r="AC75" s="196">
        <v>7110</v>
      </c>
      <c r="AD75" s="196">
        <v>7255</v>
      </c>
      <c r="AE75" s="196">
        <v>7185</v>
      </c>
      <c r="AI75" s="135">
        <v>1.3512684514788719E-2</v>
      </c>
      <c r="AJ75" s="135">
        <v>-3.7168647633053498E-3</v>
      </c>
      <c r="AK75" s="201" t="s">
        <v>221</v>
      </c>
      <c r="AM75" s="135">
        <v>4.1691881687021828E-2</v>
      </c>
      <c r="AN75" s="135">
        <v>-4.20330119300516E-3</v>
      </c>
      <c r="AO75" s="201" t="s">
        <v>88</v>
      </c>
    </row>
    <row r="76" spans="1:41" x14ac:dyDescent="0.25">
      <c r="A76" s="135">
        <f t="shared" si="2"/>
        <v>3.6389305527411875E-2</v>
      </c>
      <c r="B76" s="135">
        <f t="shared" si="3"/>
        <v>1.3337285121515219E-3</v>
      </c>
      <c r="C76" s="246" t="s">
        <v>91</v>
      </c>
      <c r="D76" s="196">
        <v>2.41</v>
      </c>
      <c r="E76" s="196">
        <v>2.2999999999999998</v>
      </c>
      <c r="F76" s="196">
        <v>2.31</v>
      </c>
      <c r="G76" s="196">
        <v>2.31</v>
      </c>
      <c r="H76" s="196">
        <v>2.2999999999999998</v>
      </c>
      <c r="I76" s="196">
        <v>2.2999999999999998</v>
      </c>
      <c r="J76" s="196">
        <v>2.38</v>
      </c>
      <c r="K76" s="196">
        <v>2.37</v>
      </c>
      <c r="L76" s="196">
        <v>2.37</v>
      </c>
      <c r="M76" s="196">
        <v>2.38</v>
      </c>
      <c r="N76" s="196">
        <v>2.38</v>
      </c>
      <c r="O76" s="196">
        <v>2.38</v>
      </c>
      <c r="P76" s="196">
        <v>2.35</v>
      </c>
      <c r="Q76" s="196">
        <v>2.4</v>
      </c>
      <c r="R76" s="196">
        <v>2.31</v>
      </c>
      <c r="S76" s="196">
        <v>2.39</v>
      </c>
      <c r="T76" s="196">
        <v>2.4</v>
      </c>
      <c r="U76" s="196">
        <v>2.4</v>
      </c>
      <c r="V76" s="196">
        <v>2.5499999999999998</v>
      </c>
      <c r="W76" s="196">
        <v>2.5299999999999998</v>
      </c>
      <c r="X76" s="196">
        <v>2.57</v>
      </c>
      <c r="Y76" s="196">
        <v>2.5499999999999998</v>
      </c>
      <c r="Z76" s="196">
        <v>2.5499999999999998</v>
      </c>
      <c r="AA76" s="196">
        <v>2.5499999999999998</v>
      </c>
      <c r="AB76" s="196">
        <v>2.5</v>
      </c>
      <c r="AC76" s="196">
        <v>2.42</v>
      </c>
      <c r="AD76" s="196">
        <v>2.44</v>
      </c>
      <c r="AE76" s="196">
        <v>2.4700000000000002</v>
      </c>
      <c r="AI76" s="135">
        <v>1.3367578389193781E-2</v>
      </c>
      <c r="AJ76" s="135">
        <v>1.9094548814280188E-4</v>
      </c>
      <c r="AK76" s="199" t="s">
        <v>297</v>
      </c>
      <c r="AM76" s="135">
        <v>3.1555389410534596E-2</v>
      </c>
      <c r="AN76" s="135">
        <v>-6.6666666666667096E-3</v>
      </c>
      <c r="AO76" s="201" t="s">
        <v>93</v>
      </c>
    </row>
    <row r="77" spans="1:41" x14ac:dyDescent="0.25">
      <c r="A77" s="135">
        <f t="shared" si="2"/>
        <v>2.2142191731147755E-2</v>
      </c>
      <c r="B77" s="135">
        <f t="shared" si="3"/>
        <v>-6.777050442818644E-2</v>
      </c>
      <c r="C77" s="201" t="s">
        <v>81</v>
      </c>
      <c r="D77" s="196">
        <v>3.71</v>
      </c>
      <c r="E77" s="196">
        <v>3.66</v>
      </c>
      <c r="F77" s="196">
        <v>3.46</v>
      </c>
      <c r="G77" s="196">
        <v>3.49</v>
      </c>
      <c r="H77" s="196">
        <v>3.48</v>
      </c>
      <c r="I77" s="196">
        <v>3.48</v>
      </c>
      <c r="J77" s="196">
        <v>3.42</v>
      </c>
      <c r="K77" s="196">
        <v>3.44</v>
      </c>
      <c r="L77" s="196">
        <v>3.44</v>
      </c>
      <c r="M77" s="196">
        <v>3.44</v>
      </c>
      <c r="N77" s="196">
        <v>3.44</v>
      </c>
      <c r="O77" s="196">
        <v>3.44</v>
      </c>
      <c r="P77" s="196">
        <v>3.47</v>
      </c>
      <c r="Q77" s="196">
        <v>3.5</v>
      </c>
      <c r="R77" s="196">
        <v>3.49</v>
      </c>
      <c r="S77" s="196">
        <v>3.48</v>
      </c>
      <c r="T77" s="196">
        <v>3.48</v>
      </c>
      <c r="U77" s="196">
        <v>3.46</v>
      </c>
      <c r="V77" s="196">
        <v>3.42</v>
      </c>
      <c r="W77" s="196">
        <v>3.49</v>
      </c>
      <c r="X77" s="196">
        <v>3.45</v>
      </c>
      <c r="Y77" s="196">
        <v>3.42</v>
      </c>
      <c r="Z77" s="196">
        <v>3.42</v>
      </c>
      <c r="AA77" s="196">
        <v>3.4</v>
      </c>
      <c r="AB77" s="196">
        <v>3.35</v>
      </c>
      <c r="AC77" s="196">
        <v>3.39</v>
      </c>
      <c r="AD77" s="196">
        <v>3.38</v>
      </c>
      <c r="AE77" s="196">
        <v>3.34</v>
      </c>
      <c r="AI77" s="135">
        <v>1.2855116803490732E-2</v>
      </c>
      <c r="AJ77" s="135">
        <v>1.2629441624365301E-2</v>
      </c>
      <c r="AK77" s="199" t="s">
        <v>15</v>
      </c>
      <c r="AM77" s="135">
        <v>1.4087865414271542E-2</v>
      </c>
      <c r="AN77" s="135">
        <v>-8.1720859763916298E-3</v>
      </c>
      <c r="AO77" s="200" t="s">
        <v>218</v>
      </c>
    </row>
    <row r="78" spans="1:41" x14ac:dyDescent="0.25">
      <c r="A78" s="135">
        <f>_xlfn.STDEV.S(D78:AF78)/AVERAGE(D78:AF78)</f>
        <v>6.0927172818327498E-2</v>
      </c>
      <c r="B78" s="135">
        <f>AVERAGE(D78:AF78)/D78-1</f>
        <v>8.3159247951148929E-2</v>
      </c>
      <c r="C78" s="248" t="s">
        <v>48</v>
      </c>
      <c r="D78" s="196">
        <v>8.89</v>
      </c>
      <c r="E78" s="196">
        <v>9.24</v>
      </c>
      <c r="F78" s="196">
        <v>8.86</v>
      </c>
      <c r="G78" s="196">
        <v>9</v>
      </c>
      <c r="H78" s="196">
        <v>9.15</v>
      </c>
      <c r="I78" s="196">
        <v>9.23</v>
      </c>
      <c r="J78" s="196">
        <v>9.1199999999999992</v>
      </c>
      <c r="K78" s="196">
        <v>9.17</v>
      </c>
      <c r="L78" s="196">
        <v>9.1300000000000008</v>
      </c>
      <c r="M78" s="196">
        <v>9.1300000000000008</v>
      </c>
      <c r="N78" s="196">
        <v>9.1300000000000008</v>
      </c>
      <c r="O78" s="196">
        <v>9.1300000000000008</v>
      </c>
      <c r="P78" s="196">
        <v>9.32</v>
      </c>
      <c r="Q78" s="196">
        <v>9.27</v>
      </c>
      <c r="R78" s="196">
        <v>9.27</v>
      </c>
      <c r="S78" s="196">
        <v>9.7200000000000006</v>
      </c>
      <c r="T78" s="196">
        <v>9.94</v>
      </c>
      <c r="U78" s="196">
        <v>10.029999999999999</v>
      </c>
      <c r="V78" s="196">
        <v>9.59</v>
      </c>
      <c r="W78" s="196">
        <v>10.24</v>
      </c>
      <c r="X78" s="196">
        <v>10.15</v>
      </c>
      <c r="Y78" s="196">
        <v>10.29</v>
      </c>
      <c r="Z78" s="196">
        <v>10.65</v>
      </c>
      <c r="AA78" s="196">
        <v>10.47</v>
      </c>
      <c r="AB78" s="196">
        <v>10.59</v>
      </c>
      <c r="AC78" s="196">
        <v>10.210000000000001</v>
      </c>
      <c r="AD78" s="196">
        <v>10.38</v>
      </c>
      <c r="AE78" s="196">
        <v>10.32</v>
      </c>
      <c r="AI78" s="135">
        <v>1.2400580575953991E-2</v>
      </c>
      <c r="AJ78" s="135">
        <v>2.3292682926829178E-2</v>
      </c>
      <c r="AK78" s="201" t="s">
        <v>84</v>
      </c>
      <c r="AM78" s="135">
        <v>1.7494412759788618E-2</v>
      </c>
      <c r="AN78" s="135">
        <v>-2.4068919814446366E-2</v>
      </c>
      <c r="AO78" s="201" t="s">
        <v>34</v>
      </c>
    </row>
    <row r="79" spans="1:41" x14ac:dyDescent="0.25">
      <c r="A79" s="135">
        <f t="shared" si="2"/>
        <v>3.8631839515372059E-2</v>
      </c>
      <c r="B79" s="135">
        <f t="shared" si="3"/>
        <v>2.557603686635912E-2</v>
      </c>
      <c r="C79" s="248" t="s">
        <v>214</v>
      </c>
      <c r="D79" s="196">
        <v>27.9</v>
      </c>
      <c r="E79" s="196">
        <v>28.2</v>
      </c>
      <c r="F79" s="196">
        <v>27.5</v>
      </c>
      <c r="G79" s="196">
        <v>26.8</v>
      </c>
      <c r="H79" s="196">
        <v>27.74</v>
      </c>
      <c r="I79" s="196">
        <v>27.74</v>
      </c>
      <c r="J79" s="196">
        <v>27.54</v>
      </c>
      <c r="K79" s="196">
        <v>28.04</v>
      </c>
      <c r="L79" s="196">
        <v>28.04</v>
      </c>
      <c r="M79" s="196">
        <v>27.84</v>
      </c>
      <c r="N79" s="196">
        <v>27.84</v>
      </c>
      <c r="O79" s="196">
        <v>27.84</v>
      </c>
      <c r="P79" s="196">
        <v>27.86</v>
      </c>
      <c r="Q79" s="196">
        <v>27.68</v>
      </c>
      <c r="R79" s="196">
        <v>27.64</v>
      </c>
      <c r="S79" s="196">
        <v>28.26</v>
      </c>
      <c r="T79" s="196">
        <v>29.48</v>
      </c>
      <c r="U79" s="196">
        <v>29.78</v>
      </c>
      <c r="V79" s="196">
        <v>29.04</v>
      </c>
      <c r="W79" s="196">
        <v>28.88</v>
      </c>
      <c r="X79" s="196">
        <v>28.88</v>
      </c>
      <c r="Y79" s="196">
        <v>29.12</v>
      </c>
      <c r="Z79" s="196">
        <v>29.92</v>
      </c>
      <c r="AA79" s="196">
        <v>29.52</v>
      </c>
      <c r="AB79" s="196">
        <v>30.42</v>
      </c>
      <c r="AC79" s="196">
        <v>30.56</v>
      </c>
      <c r="AD79" s="196">
        <v>30.18</v>
      </c>
      <c r="AE79" s="196">
        <v>30.94</v>
      </c>
      <c r="AI79" s="135">
        <v>1.2221890483355752E-2</v>
      </c>
      <c r="AJ79" s="135">
        <v>1.0068920249425739E-2</v>
      </c>
      <c r="AK79" s="201" t="s">
        <v>71</v>
      </c>
      <c r="AM79" s="135">
        <v>2.2444798165693735E-2</v>
      </c>
      <c r="AN79" s="135">
        <v>-3.9636717482971151E-2</v>
      </c>
      <c r="AO79" s="201" t="s">
        <v>219</v>
      </c>
    </row>
    <row r="80" spans="1:41" x14ac:dyDescent="0.25">
      <c r="A80" s="135">
        <f t="shared" si="2"/>
        <v>4.6290717953201943E-2</v>
      </c>
      <c r="B80" s="135">
        <f t="shared" si="3"/>
        <v>1.132930513595154E-2</v>
      </c>
      <c r="C80" s="257" t="s">
        <v>92</v>
      </c>
      <c r="D80" s="196">
        <v>3.31</v>
      </c>
      <c r="E80" s="196">
        <v>3.31</v>
      </c>
      <c r="F80" s="196">
        <v>3.18</v>
      </c>
      <c r="G80" s="196">
        <v>3.21</v>
      </c>
      <c r="H80" s="196">
        <v>3.15</v>
      </c>
      <c r="I80" s="196">
        <v>3.15</v>
      </c>
      <c r="J80" s="196">
        <v>3.21</v>
      </c>
      <c r="K80" s="196">
        <v>3.21</v>
      </c>
      <c r="L80" s="196">
        <v>3.21</v>
      </c>
      <c r="M80" s="196">
        <v>3.21</v>
      </c>
      <c r="N80" s="196">
        <v>3.21</v>
      </c>
      <c r="O80" s="196">
        <v>3.21</v>
      </c>
      <c r="P80" s="196">
        <v>3.25</v>
      </c>
      <c r="Q80" s="196">
        <v>3.23</v>
      </c>
      <c r="R80" s="196">
        <v>3.23</v>
      </c>
      <c r="S80" s="196">
        <v>3.44</v>
      </c>
      <c r="T80" s="196">
        <v>3.48</v>
      </c>
      <c r="U80" s="196">
        <v>3.52</v>
      </c>
      <c r="V80" s="196">
        <v>3.52</v>
      </c>
      <c r="W80" s="196">
        <v>3.54</v>
      </c>
      <c r="X80" s="196">
        <v>3.54</v>
      </c>
      <c r="Y80" s="196">
        <v>3.56</v>
      </c>
      <c r="Z80" s="196">
        <v>3.58</v>
      </c>
      <c r="AA80" s="196">
        <v>3.56</v>
      </c>
      <c r="AB80" s="196">
        <v>3.6</v>
      </c>
      <c r="AC80" s="196">
        <v>3.38</v>
      </c>
      <c r="AD80" s="196">
        <v>3.38</v>
      </c>
      <c r="AE80" s="196">
        <v>3.35</v>
      </c>
      <c r="AI80" s="135">
        <v>1.1859240567957506E-2</v>
      </c>
      <c r="AJ80" s="135">
        <v>4.9250830668927659E-3</v>
      </c>
      <c r="AK80" s="201" t="s">
        <v>13</v>
      </c>
      <c r="AM80" s="135">
        <v>1.651160926207507E-2</v>
      </c>
      <c r="AN80" s="135">
        <v>-4.1970534069981635E-2</v>
      </c>
      <c r="AO80" s="199" t="s">
        <v>76</v>
      </c>
    </row>
    <row r="81" spans="1:41" x14ac:dyDescent="0.25">
      <c r="A81" s="135">
        <f t="shared" si="2"/>
        <v>3.8971068700615272E-2</v>
      </c>
      <c r="B81" s="135">
        <f t="shared" si="3"/>
        <v>0.11337488015340313</v>
      </c>
      <c r="C81" s="246" t="s">
        <v>49</v>
      </c>
      <c r="D81" s="196">
        <v>2.6819999999999999</v>
      </c>
      <c r="E81" s="196">
        <v>2.738</v>
      </c>
      <c r="F81" s="196">
        <v>3.05</v>
      </c>
      <c r="G81" s="196">
        <v>3.05</v>
      </c>
      <c r="H81" s="196">
        <v>3.05</v>
      </c>
      <c r="I81" s="196">
        <v>3.05</v>
      </c>
      <c r="J81" s="196">
        <v>3.05</v>
      </c>
      <c r="K81" s="196">
        <v>3.05</v>
      </c>
      <c r="L81" s="196">
        <v>3.05</v>
      </c>
      <c r="M81" s="196">
        <v>3.05</v>
      </c>
      <c r="N81" s="196">
        <v>3.05</v>
      </c>
      <c r="O81" s="196">
        <v>3.05</v>
      </c>
      <c r="P81" s="196">
        <v>3.05</v>
      </c>
      <c r="Q81" s="196">
        <v>3.05</v>
      </c>
      <c r="R81" s="196">
        <v>3.05</v>
      </c>
      <c r="S81" s="196">
        <v>3.05</v>
      </c>
      <c r="T81" s="196">
        <v>3.05</v>
      </c>
      <c r="U81" s="196">
        <v>3.05</v>
      </c>
      <c r="V81" s="196">
        <v>3.05</v>
      </c>
      <c r="W81" s="196">
        <v>3.05</v>
      </c>
      <c r="X81" s="196">
        <v>3.05</v>
      </c>
      <c r="Y81" s="196">
        <v>3.05</v>
      </c>
      <c r="Z81" s="196">
        <v>3.05</v>
      </c>
      <c r="AA81" s="196">
        <v>2.83</v>
      </c>
      <c r="AB81" s="196">
        <v>2.81</v>
      </c>
      <c r="AC81" s="196">
        <v>2.85</v>
      </c>
      <c r="AD81" s="196">
        <v>2.82</v>
      </c>
      <c r="AE81" s="196">
        <v>2.83</v>
      </c>
      <c r="AI81" s="135">
        <v>1.1572666213485775E-2</v>
      </c>
      <c r="AJ81" s="135">
        <v>3.8529411764705923E-2</v>
      </c>
      <c r="AK81" s="200" t="s">
        <v>73</v>
      </c>
      <c r="AM81" s="135">
        <v>2.5994400951855765E-2</v>
      </c>
      <c r="AN81" s="135">
        <v>-6.1387535163833662E-2</v>
      </c>
      <c r="AO81" s="201" t="s">
        <v>89</v>
      </c>
    </row>
    <row r="82" spans="1:41" x14ac:dyDescent="0.25">
      <c r="A82" s="135">
        <f t="shared" si="2"/>
        <v>1.2906958683441558E-2</v>
      </c>
      <c r="B82" s="135">
        <f t="shared" si="3"/>
        <v>-2.5298077346125325E-4</v>
      </c>
      <c r="C82" s="256" t="s">
        <v>297</v>
      </c>
      <c r="D82" s="196">
        <v>64.94</v>
      </c>
      <c r="E82" s="196">
        <v>65.17</v>
      </c>
      <c r="F82" s="196">
        <v>64.19</v>
      </c>
      <c r="G82" s="196">
        <v>65.52</v>
      </c>
      <c r="H82" s="196">
        <v>65.430000000000007</v>
      </c>
      <c r="I82" s="196">
        <v>65.2</v>
      </c>
      <c r="J82" s="196">
        <v>65.099999999999994</v>
      </c>
      <c r="K82" s="196">
        <v>65.53</v>
      </c>
      <c r="L82" s="196">
        <v>65.73</v>
      </c>
      <c r="M82" s="196">
        <v>65.989999999999995</v>
      </c>
      <c r="N82" s="196">
        <v>65.989999999999995</v>
      </c>
      <c r="O82" s="196">
        <v>66.180000000000007</v>
      </c>
      <c r="P82" s="196">
        <v>65.77</v>
      </c>
      <c r="Q82" s="196">
        <v>65.62</v>
      </c>
      <c r="R82" s="196">
        <v>65.400000000000006</v>
      </c>
      <c r="S82" s="196">
        <v>65.05</v>
      </c>
      <c r="T82" s="196">
        <v>65.05</v>
      </c>
      <c r="U82" s="196">
        <v>63.74</v>
      </c>
      <c r="V82" s="196">
        <v>64.48</v>
      </c>
      <c r="W82" s="196">
        <v>62.62</v>
      </c>
      <c r="X82" s="196">
        <v>63.34</v>
      </c>
      <c r="Y82" s="196">
        <v>64.2</v>
      </c>
      <c r="Z82" s="196">
        <v>64.45</v>
      </c>
      <c r="AA82" s="196">
        <v>64.42</v>
      </c>
      <c r="AB82" s="196">
        <v>64.7</v>
      </c>
      <c r="AC82" s="196">
        <v>65.33</v>
      </c>
      <c r="AD82" s="196">
        <v>64.209999999999994</v>
      </c>
      <c r="AE82" s="196">
        <v>64.510000000000005</v>
      </c>
      <c r="AI82" s="135">
        <v>8.364998853933157E-3</v>
      </c>
      <c r="AJ82" s="135">
        <v>-1.9047619047615205E-3</v>
      </c>
      <c r="AK82" s="201" t="s">
        <v>86</v>
      </c>
      <c r="AM82" s="135">
        <v>2.1262289410711448E-2</v>
      </c>
      <c r="AN82" s="135">
        <v>-6.4905660377358676E-2</v>
      </c>
      <c r="AO82" s="201" t="s">
        <v>81</v>
      </c>
    </row>
    <row r="83" spans="1:41" x14ac:dyDescent="0.25">
      <c r="A83" s="135">
        <f t="shared" si="2"/>
        <v>2.5508982924136253E-2</v>
      </c>
      <c r="B83" s="135">
        <f t="shared" si="3"/>
        <v>-2.2044841281249061E-3</v>
      </c>
      <c r="C83" s="247" t="s">
        <v>77</v>
      </c>
      <c r="D83" s="196">
        <v>347.83</v>
      </c>
      <c r="E83" s="196">
        <v>346.75</v>
      </c>
      <c r="F83" s="196">
        <v>344.1</v>
      </c>
      <c r="G83" s="196">
        <v>344.15</v>
      </c>
      <c r="H83" s="196">
        <v>344.92</v>
      </c>
      <c r="I83" s="196">
        <v>346.01</v>
      </c>
      <c r="J83" s="196">
        <v>349.25</v>
      </c>
      <c r="K83" s="196">
        <v>353.5</v>
      </c>
      <c r="L83" s="196">
        <v>353.38</v>
      </c>
      <c r="M83" s="196">
        <v>355.14</v>
      </c>
      <c r="N83" s="196">
        <v>355.14</v>
      </c>
      <c r="O83" s="196">
        <v>355</v>
      </c>
      <c r="P83" s="196">
        <v>354.61</v>
      </c>
      <c r="Q83" s="196">
        <v>353.62</v>
      </c>
      <c r="R83" s="196">
        <v>350.71</v>
      </c>
      <c r="S83" s="196">
        <v>346.48</v>
      </c>
      <c r="T83" s="196">
        <v>346.48</v>
      </c>
      <c r="U83" s="196">
        <v>353.8</v>
      </c>
      <c r="V83" s="196">
        <v>357.56</v>
      </c>
      <c r="W83" s="196">
        <v>355.88</v>
      </c>
      <c r="X83" s="196">
        <v>352.23</v>
      </c>
      <c r="Y83" s="196">
        <v>349.77</v>
      </c>
      <c r="Z83" s="196">
        <v>345.16</v>
      </c>
      <c r="AA83" s="196">
        <v>343.2</v>
      </c>
      <c r="AB83" s="196">
        <v>327.88</v>
      </c>
      <c r="AC83" s="196">
        <v>329.17</v>
      </c>
      <c r="AD83" s="196">
        <v>327.75</v>
      </c>
      <c r="AE83" s="196">
        <v>328.3</v>
      </c>
      <c r="AI83" s="135">
        <v>7.3760173439386852E-3</v>
      </c>
      <c r="AJ83" s="135">
        <v>2.1316614420059388E-3</v>
      </c>
      <c r="AK83" s="201" t="s">
        <v>18</v>
      </c>
      <c r="AM83" s="135">
        <v>4.0499202571236133E-2</v>
      </c>
      <c r="AN83" s="135">
        <v>-6.6808219178082329E-2</v>
      </c>
      <c r="AO83" s="201" t="s">
        <v>94</v>
      </c>
    </row>
    <row r="84" spans="1:41" ht="15.75" thickBot="1" x14ac:dyDescent="0.3">
      <c r="A84" s="135">
        <f t="shared" si="2"/>
        <v>1.6607109455030862E-2</v>
      </c>
      <c r="B84" s="135">
        <f t="shared" si="3"/>
        <v>-4.3705603788476766E-2</v>
      </c>
      <c r="C84" s="209" t="s">
        <v>76</v>
      </c>
      <c r="D84" s="196">
        <v>108.6</v>
      </c>
      <c r="E84" s="196">
        <v>107.65</v>
      </c>
      <c r="F84" s="196">
        <v>106.7</v>
      </c>
      <c r="G84" s="196">
        <v>104.75</v>
      </c>
      <c r="H84" s="196">
        <v>104.35</v>
      </c>
      <c r="I84" s="196">
        <v>104.5</v>
      </c>
      <c r="J84" s="196">
        <v>104.05</v>
      </c>
      <c r="K84" s="196">
        <v>103.55</v>
      </c>
      <c r="L84" s="196">
        <v>103.75</v>
      </c>
      <c r="M84" s="196">
        <v>103.75</v>
      </c>
      <c r="N84" s="196">
        <v>103.75</v>
      </c>
      <c r="O84" s="196">
        <v>103.75</v>
      </c>
      <c r="P84" s="196">
        <v>103.05</v>
      </c>
      <c r="Q84" s="196">
        <v>103.55</v>
      </c>
      <c r="R84" s="196">
        <v>103.55</v>
      </c>
      <c r="S84" s="196">
        <v>106.45</v>
      </c>
      <c r="T84" s="196">
        <v>104.65</v>
      </c>
      <c r="U84" s="196">
        <v>103.35</v>
      </c>
      <c r="V84" s="196">
        <v>103.1</v>
      </c>
      <c r="W84" s="196">
        <v>102.2</v>
      </c>
      <c r="X84" s="196">
        <v>101.8</v>
      </c>
      <c r="Y84" s="196">
        <v>103.85</v>
      </c>
      <c r="Z84" s="196">
        <v>102.15</v>
      </c>
      <c r="AA84" s="196">
        <v>102.1</v>
      </c>
      <c r="AB84" s="196">
        <v>102.1</v>
      </c>
      <c r="AC84" s="196">
        <v>102.6</v>
      </c>
      <c r="AD84" s="196">
        <v>102.85</v>
      </c>
      <c r="AE84" s="196">
        <v>101.4</v>
      </c>
      <c r="AI84" s="135">
        <v>5.3217857778514628E-3</v>
      </c>
      <c r="AJ84" s="135">
        <v>8.0613362541073208E-3</v>
      </c>
      <c r="AK84" s="211" t="s">
        <v>69</v>
      </c>
      <c r="AM84" s="135">
        <v>4.4584521043454568E-2</v>
      </c>
      <c r="AN84" s="135">
        <v>-0.12541696529720492</v>
      </c>
      <c r="AO84" s="209" t="s">
        <v>220</v>
      </c>
    </row>
    <row r="86" spans="1:41" x14ac:dyDescent="0.25">
      <c r="C86">
        <f>COUNTA(C3:C84)</f>
        <v>82</v>
      </c>
      <c r="D86" s="196">
        <f>AVERAGE(D3:D84)</f>
        <v>533.53895121951223</v>
      </c>
      <c r="E86" s="196">
        <f t="shared" ref="E86:AE86" si="4">AVERAGE(E3:E84)</f>
        <v>538.08053658536585</v>
      </c>
      <c r="F86" s="196">
        <f t="shared" si="4"/>
        <v>531.31787804878036</v>
      </c>
      <c r="G86" s="196">
        <f t="shared" si="4"/>
        <v>530.19841463414616</v>
      </c>
      <c r="H86" s="196">
        <f t="shared" si="4"/>
        <v>534.77878048780485</v>
      </c>
      <c r="I86" s="196">
        <f t="shared" si="4"/>
        <v>534.77792682926838</v>
      </c>
      <c r="J86" s="196">
        <f t="shared" si="4"/>
        <v>538.41780487804863</v>
      </c>
      <c r="K86" s="196">
        <f t="shared" si="4"/>
        <v>538.21256097560968</v>
      </c>
      <c r="L86" s="196">
        <f t="shared" si="4"/>
        <v>538.30890243902445</v>
      </c>
      <c r="M86" s="196">
        <f t="shared" si="4"/>
        <v>537.76158536585331</v>
      </c>
      <c r="N86" s="196">
        <f t="shared" si="4"/>
        <v>537.80926829268253</v>
      </c>
      <c r="O86" s="196">
        <f t="shared" si="4"/>
        <v>539.18280487804861</v>
      </c>
      <c r="P86" s="196">
        <f t="shared" si="4"/>
        <v>538.70536585365858</v>
      </c>
      <c r="Q86" s="196">
        <f t="shared" si="4"/>
        <v>541.7307317073172</v>
      </c>
      <c r="R86" s="196">
        <f t="shared" si="4"/>
        <v>540.32195121951224</v>
      </c>
      <c r="S86" s="196">
        <f t="shared" si="4"/>
        <v>546.16231707317093</v>
      </c>
      <c r="T86" s="196">
        <f t="shared" si="4"/>
        <v>547.97695121951267</v>
      </c>
      <c r="U86" s="196">
        <f t="shared" si="4"/>
        <v>552.42231707317092</v>
      </c>
      <c r="V86" s="196">
        <f t="shared" si="4"/>
        <v>555.57695121951213</v>
      </c>
      <c r="W86" s="196">
        <f t="shared" si="4"/>
        <v>556.77573170731716</v>
      </c>
      <c r="X86" s="196">
        <f t="shared" si="4"/>
        <v>556.7893902439024</v>
      </c>
      <c r="Y86" s="196">
        <f t="shared" si="4"/>
        <v>562.50524390243913</v>
      </c>
      <c r="Z86" s="196">
        <f t="shared" si="4"/>
        <v>565.94060975609784</v>
      </c>
      <c r="AA86" s="196">
        <f t="shared" si="4"/>
        <v>562.83243902439017</v>
      </c>
      <c r="AB86" s="196">
        <f t="shared" si="4"/>
        <v>562.58463414634127</v>
      </c>
      <c r="AC86" s="196">
        <f t="shared" si="4"/>
        <v>563.40853658536582</v>
      </c>
      <c r="AD86" s="196">
        <f t="shared" si="4"/>
        <v>564.60695121951221</v>
      </c>
      <c r="AE86" s="196">
        <f t="shared" si="4"/>
        <v>565.980975609756</v>
      </c>
    </row>
    <row r="87" spans="1:41" ht="18.75" x14ac:dyDescent="0.3">
      <c r="C87" s="258">
        <f>AVERAGE(D87:AF87)</f>
        <v>2.2013714980242899E-3</v>
      </c>
      <c r="E87" s="259">
        <f>+E86/D86-1</f>
        <v>8.5121908259422341E-3</v>
      </c>
      <c r="F87" s="259">
        <f t="shared" ref="F87:AE87" si="5">+F86/E86-1</f>
        <v>-1.2568115880014941E-2</v>
      </c>
      <c r="G87" s="259">
        <f t="shared" si="5"/>
        <v>-2.1069560443652824E-3</v>
      </c>
      <c r="H87" s="259">
        <f t="shared" si="5"/>
        <v>8.6389655782341812E-3</v>
      </c>
      <c r="I87" s="259">
        <f t="shared" si="5"/>
        <v>-1.5962834869487352E-6</v>
      </c>
      <c r="J87" s="259">
        <f t="shared" si="5"/>
        <v>6.806335613665393E-3</v>
      </c>
      <c r="K87" s="259">
        <f t="shared" si="5"/>
        <v>-3.8119820811910454E-4</v>
      </c>
      <c r="L87" s="259">
        <f t="shared" si="5"/>
        <v>1.790026290731106E-4</v>
      </c>
      <c r="M87" s="259">
        <f t="shared" si="5"/>
        <v>-1.0167342035238836E-3</v>
      </c>
      <c r="N87" s="259">
        <f t="shared" si="5"/>
        <v>8.8669269294738839E-5</v>
      </c>
      <c r="O87" s="259">
        <f t="shared" si="5"/>
        <v>2.5539474054183664E-3</v>
      </c>
      <c r="P87" s="259">
        <f t="shared" si="5"/>
        <v>-8.8548636950325221E-4</v>
      </c>
      <c r="Q87" s="259">
        <f t="shared" si="5"/>
        <v>5.6159935382571469E-3</v>
      </c>
      <c r="R87" s="259">
        <f t="shared" si="5"/>
        <v>-2.6005179424933855E-3</v>
      </c>
      <c r="S87" s="259">
        <f t="shared" si="5"/>
        <v>1.0809047902786251E-2</v>
      </c>
      <c r="T87" s="259">
        <f t="shared" si="5"/>
        <v>3.3225180310245683E-3</v>
      </c>
      <c r="U87" s="259">
        <f t="shared" si="5"/>
        <v>8.1123226875969845E-3</v>
      </c>
      <c r="V87" s="259">
        <f t="shared" si="5"/>
        <v>5.7105479790444669E-3</v>
      </c>
      <c r="W87" s="259">
        <f t="shared" si="5"/>
        <v>2.1577217794468417E-3</v>
      </c>
      <c r="X87" s="259">
        <f t="shared" si="5"/>
        <v>2.4531486929824098E-5</v>
      </c>
      <c r="Y87" s="259">
        <f t="shared" si="5"/>
        <v>1.0265737384171247E-2</v>
      </c>
      <c r="Z87" s="259">
        <f t="shared" si="5"/>
        <v>6.1072601382796687E-3</v>
      </c>
      <c r="AA87" s="259">
        <f t="shared" si="5"/>
        <v>-5.492044002721741E-3</v>
      </c>
      <c r="AB87" s="259">
        <f t="shared" si="5"/>
        <v>-4.4028179768462739E-4</v>
      </c>
      <c r="AC87" s="259">
        <f t="shared" si="5"/>
        <v>1.4644950981903548E-3</v>
      </c>
      <c r="AD87" s="259">
        <f t="shared" si="5"/>
        <v>2.1270792973950847E-3</v>
      </c>
      <c r="AE87" s="259">
        <f t="shared" si="5"/>
        <v>2.4335945338185283E-3</v>
      </c>
    </row>
    <row r="88" spans="1:41" ht="18.75" x14ac:dyDescent="0.3">
      <c r="C88" s="258">
        <f>AVERAGE(D88:AF88)</f>
        <v>2.6213218789553343E-2</v>
      </c>
      <c r="E88" s="259">
        <f>+E86/$D$86-1</f>
        <v>8.5121908259422341E-3</v>
      </c>
      <c r="F88" s="259">
        <f t="shared" ref="F88:AE88" si="6">+F86/$D$86-1</f>
        <v>-4.1629072547658685E-3</v>
      </c>
      <c r="G88" s="259">
        <f t="shared" si="6"/>
        <v>-6.2610922365284871E-3</v>
      </c>
      <c r="H88" s="259">
        <f t="shared" si="6"/>
        <v>2.3237839813921024E-3</v>
      </c>
      <c r="I88" s="259">
        <f t="shared" si="6"/>
        <v>2.3221839884870477E-3</v>
      </c>
      <c r="J88" s="259">
        <f t="shared" si="6"/>
        <v>9.1443251657348235E-3</v>
      </c>
      <c r="K88" s="259">
        <f t="shared" si="6"/>
        <v>8.7596411572481436E-3</v>
      </c>
      <c r="L88" s="259">
        <f t="shared" si="6"/>
        <v>8.9402117851180574E-3</v>
      </c>
      <c r="M88" s="259">
        <f t="shared" si="6"/>
        <v>7.9143877624856529E-3</v>
      </c>
      <c r="N88" s="259">
        <f t="shared" si="6"/>
        <v>8.0037587947601185E-3</v>
      </c>
      <c r="O88" s="259">
        <f t="shared" si="6"/>
        <v>1.0578147379186165E-2</v>
      </c>
      <c r="P88" s="259">
        <f t="shared" si="6"/>
        <v>9.6832942043640902E-3</v>
      </c>
      <c r="Q88" s="259">
        <f t="shared" si="6"/>
        <v>1.5353669060302E-2</v>
      </c>
      <c r="R88" s="259">
        <f t="shared" si="6"/>
        <v>1.2713223625934189E-2</v>
      </c>
      <c r="S88" s="259">
        <f t="shared" si="6"/>
        <v>2.365968937189189E-2</v>
      </c>
      <c r="T88" s="259">
        <f t="shared" si="6"/>
        <v>2.7060817147463112E-2</v>
      </c>
      <c r="U88" s="259">
        <f t="shared" si="6"/>
        <v>3.539266591595025E-2</v>
      </c>
      <c r="V88" s="259">
        <f t="shared" si="6"/>
        <v>4.1305325411814087E-2</v>
      </c>
      <c r="W88" s="259">
        <f t="shared" si="6"/>
        <v>4.355217259150912E-2</v>
      </c>
      <c r="X88" s="259">
        <f t="shared" si="6"/>
        <v>4.357777247799155E-2</v>
      </c>
      <c r="Y88" s="259">
        <f t="shared" si="6"/>
        <v>5.4290867830208978E-2</v>
      </c>
      <c r="Z88" s="259">
        <f t="shared" si="6"/>
        <v>6.0729696421460977E-2</v>
      </c>
      <c r="AA88" s="259">
        <f t="shared" si="6"/>
        <v>5.4904122253720544E-2</v>
      </c>
      <c r="AB88" s="259">
        <f t="shared" si="6"/>
        <v>5.4439667170389727E-2</v>
      </c>
      <c r="AC88" s="259">
        <f t="shared" si="6"/>
        <v>5.5983888894298284E-2</v>
      </c>
      <c r="AD88" s="259">
        <f t="shared" si="6"/>
        <v>5.8230050362747976E-2</v>
      </c>
      <c r="AE88" s="259">
        <f t="shared" si="6"/>
        <v>6.0805353228833514E-2</v>
      </c>
    </row>
    <row r="89" spans="1:41" x14ac:dyDescent="0.25">
      <c r="A89" s="260" t="s">
        <v>189</v>
      </c>
      <c r="B89" s="111">
        <f t="shared" ref="B89" si="7">+C89/$C$89</f>
        <v>1</v>
      </c>
      <c r="C89" s="10">
        <f>COUNT(D88:AF88)</f>
        <v>27</v>
      </c>
    </row>
    <row r="90" spans="1:41" x14ac:dyDescent="0.25">
      <c r="A90" s="260" t="s">
        <v>561</v>
      </c>
      <c r="B90" s="111">
        <f>+C90/$C$89</f>
        <v>0.55555555555555558</v>
      </c>
      <c r="C90" s="10">
        <f>COUNT(D90:AF90)</f>
        <v>15</v>
      </c>
      <c r="D90" s="261"/>
      <c r="E90" s="262">
        <f t="shared" ref="E90:AE90" si="8">IF(E87&gt;0.1%,1,"")</f>
        <v>1</v>
      </c>
      <c r="F90" s="262" t="str">
        <f t="shared" si="8"/>
        <v/>
      </c>
      <c r="G90" s="262" t="str">
        <f t="shared" si="8"/>
        <v/>
      </c>
      <c r="H90" s="262">
        <f t="shared" si="8"/>
        <v>1</v>
      </c>
      <c r="I90" s="262" t="str">
        <f t="shared" si="8"/>
        <v/>
      </c>
      <c r="J90" s="262">
        <f t="shared" si="8"/>
        <v>1</v>
      </c>
      <c r="K90" s="262" t="str">
        <f t="shared" si="8"/>
        <v/>
      </c>
      <c r="L90" s="262" t="str">
        <f t="shared" si="8"/>
        <v/>
      </c>
      <c r="M90" s="262" t="str">
        <f t="shared" si="8"/>
        <v/>
      </c>
      <c r="N90" s="262" t="str">
        <f t="shared" si="8"/>
        <v/>
      </c>
      <c r="O90" s="262">
        <f t="shared" si="8"/>
        <v>1</v>
      </c>
      <c r="P90" s="262" t="str">
        <f t="shared" si="8"/>
        <v/>
      </c>
      <c r="Q90" s="262">
        <f t="shared" si="8"/>
        <v>1</v>
      </c>
      <c r="R90" s="262" t="str">
        <f t="shared" si="8"/>
        <v/>
      </c>
      <c r="S90" s="262">
        <f t="shared" si="8"/>
        <v>1</v>
      </c>
      <c r="T90" s="262">
        <f t="shared" si="8"/>
        <v>1</v>
      </c>
      <c r="U90" s="262">
        <f t="shared" si="8"/>
        <v>1</v>
      </c>
      <c r="V90" s="262">
        <f t="shared" si="8"/>
        <v>1</v>
      </c>
      <c r="W90" s="262">
        <f t="shared" si="8"/>
        <v>1</v>
      </c>
      <c r="X90" s="262" t="str">
        <f t="shared" si="8"/>
        <v/>
      </c>
      <c r="Y90" s="262">
        <f t="shared" si="8"/>
        <v>1</v>
      </c>
      <c r="Z90" s="262">
        <f t="shared" si="8"/>
        <v>1</v>
      </c>
      <c r="AA90" s="262" t="str">
        <f t="shared" si="8"/>
        <v/>
      </c>
      <c r="AB90" s="262" t="str">
        <f t="shared" si="8"/>
        <v/>
      </c>
      <c r="AC90" s="262">
        <f t="shared" si="8"/>
        <v>1</v>
      </c>
      <c r="AD90" s="262">
        <f t="shared" si="8"/>
        <v>1</v>
      </c>
      <c r="AE90" s="263">
        <f t="shared" si="8"/>
        <v>1</v>
      </c>
    </row>
    <row r="91" spans="1:41" x14ac:dyDescent="0.25">
      <c r="A91" s="260" t="s">
        <v>562</v>
      </c>
      <c r="B91" s="111">
        <f t="shared" ref="B91" si="9">+C91/$C$89</f>
        <v>0.33333333333333331</v>
      </c>
      <c r="C91" s="10">
        <f>COUNT(D91:AF91)</f>
        <v>9</v>
      </c>
      <c r="E91" s="264" t="str">
        <f>IF(E87&lt;0,1,"")</f>
        <v/>
      </c>
      <c r="F91" s="264">
        <f t="shared" ref="F91:AE91" si="10">IF(F87&lt;0,1,"")</f>
        <v>1</v>
      </c>
      <c r="G91" s="264">
        <f t="shared" si="10"/>
        <v>1</v>
      </c>
      <c r="H91" s="264" t="str">
        <f t="shared" si="10"/>
        <v/>
      </c>
      <c r="I91" s="264">
        <f t="shared" si="10"/>
        <v>1</v>
      </c>
      <c r="J91" s="264" t="str">
        <f t="shared" si="10"/>
        <v/>
      </c>
      <c r="K91" s="264">
        <f t="shared" si="10"/>
        <v>1</v>
      </c>
      <c r="L91" s="264" t="str">
        <f t="shared" si="10"/>
        <v/>
      </c>
      <c r="M91" s="264">
        <f t="shared" si="10"/>
        <v>1</v>
      </c>
      <c r="N91" s="264" t="str">
        <f t="shared" si="10"/>
        <v/>
      </c>
      <c r="O91" s="264" t="str">
        <f t="shared" si="10"/>
        <v/>
      </c>
      <c r="P91" s="264">
        <f t="shared" si="10"/>
        <v>1</v>
      </c>
      <c r="Q91" s="264" t="str">
        <f t="shared" si="10"/>
        <v/>
      </c>
      <c r="R91" s="264">
        <f t="shared" si="10"/>
        <v>1</v>
      </c>
      <c r="S91" s="264" t="str">
        <f t="shared" si="10"/>
        <v/>
      </c>
      <c r="T91" s="264" t="str">
        <f t="shared" si="10"/>
        <v/>
      </c>
      <c r="U91" s="264" t="str">
        <f t="shared" si="10"/>
        <v/>
      </c>
      <c r="V91" s="264" t="str">
        <f t="shared" si="10"/>
        <v/>
      </c>
      <c r="W91" s="264" t="str">
        <f t="shared" si="10"/>
        <v/>
      </c>
      <c r="X91" s="264" t="str">
        <f t="shared" si="10"/>
        <v/>
      </c>
      <c r="Y91" s="264" t="str">
        <f t="shared" si="10"/>
        <v/>
      </c>
      <c r="Z91" s="264" t="str">
        <f t="shared" si="10"/>
        <v/>
      </c>
      <c r="AA91" s="264">
        <f t="shared" si="10"/>
        <v>1</v>
      </c>
      <c r="AB91" s="264">
        <f t="shared" si="10"/>
        <v>1</v>
      </c>
      <c r="AC91" s="264" t="str">
        <f t="shared" si="10"/>
        <v/>
      </c>
      <c r="AD91" s="264" t="str">
        <f t="shared" si="10"/>
        <v/>
      </c>
      <c r="AE91" s="264" t="str">
        <f t="shared" si="10"/>
        <v/>
      </c>
    </row>
    <row r="92" spans="1:41" x14ac:dyDescent="0.25">
      <c r="C92" s="265"/>
    </row>
  </sheetData>
  <conditionalFormatting sqref="A3:A8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8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{134ED4D3-43ED-431B-9954-9AA308B29A84}</x14:id>
        </ext>
      </extLst>
    </cfRule>
  </conditionalFormatting>
  <conditionalFormatting sqref="C8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{7A83E234-B818-4EF3-A33D-2FC25B7C1C7A}</x14:id>
        </ext>
      </extLst>
    </cfRule>
  </conditionalFormatting>
  <conditionalFormatting sqref="E87:AE8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{288784F7-77DD-412C-9312-74DEC12E1211}</x14:id>
        </ext>
      </extLst>
    </cfRule>
  </conditionalFormatting>
  <conditionalFormatting sqref="E88:AE8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{9A5801EE-74B4-49D8-87A4-12F4B2BB18C4}</x14:id>
        </ext>
      </extLst>
    </cfRule>
  </conditionalFormatting>
  <conditionalFormatting sqref="AI3:AI8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:AJ8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M8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:AN8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4ED4D3-43ED-431B-9954-9AA308B29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C87</xm:sqref>
        </x14:conditionalFormatting>
        <x14:conditionalFormatting xmlns:xm="http://schemas.microsoft.com/office/excel/2006/main">
          <x14:cfRule type="dataBar" id="{7A83E234-B818-4EF3-A33D-2FC25B7C1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C88</xm:sqref>
        </x14:conditionalFormatting>
        <x14:conditionalFormatting xmlns:xm="http://schemas.microsoft.com/office/excel/2006/main">
          <x14:cfRule type="dataBar" id="{288784F7-77DD-412C-9312-74DEC12E1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E87:AE87</xm:sqref>
        </x14:conditionalFormatting>
        <x14:conditionalFormatting xmlns:xm="http://schemas.microsoft.com/office/excel/2006/main">
          <x14:cfRule type="dataBar" id="{9A5801EE-74B4-49D8-87A4-12F4B2BB18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E88:AE88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5D12-5F77-4E0A-AC15-3264EBDDF4FA}">
  <sheetPr>
    <tabColor theme="5" tint="0.59999389629810485"/>
  </sheetPr>
  <dimension ref="A2:O30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22.5703125" bestFit="1" customWidth="1"/>
    <col min="2" max="2" width="22.42578125" bestFit="1" customWidth="1"/>
    <col min="3" max="6" width="7.28515625" bestFit="1" customWidth="1"/>
    <col min="7" max="7" width="7.5703125" bestFit="1" customWidth="1"/>
    <col min="8" max="8" width="7.28515625" bestFit="1" customWidth="1"/>
    <col min="9" max="9" width="6.140625" bestFit="1" customWidth="1"/>
    <col min="10" max="10" width="7.28515625" bestFit="1" customWidth="1"/>
    <col min="11" max="11" width="6.140625" bestFit="1" customWidth="1"/>
    <col min="12" max="13" width="7.28515625" bestFit="1" customWidth="1"/>
    <col min="14" max="14" width="6.42578125" bestFit="1" customWidth="1"/>
    <col min="15" max="15" width="12.5703125" bestFit="1" customWidth="1"/>
    <col min="16" max="16" width="7.85546875" bestFit="1" customWidth="1"/>
    <col min="17" max="17" width="5.7109375" bestFit="1" customWidth="1"/>
    <col min="18" max="18" width="6.5703125" bestFit="1" customWidth="1"/>
    <col min="19" max="20" width="7.85546875" bestFit="1" customWidth="1"/>
    <col min="21" max="21" width="5.7109375" bestFit="1" customWidth="1"/>
    <col min="22" max="22" width="6.5703125" bestFit="1" customWidth="1"/>
    <col min="23" max="23" width="11.7109375" bestFit="1" customWidth="1"/>
    <col min="24" max="24" width="25.7109375" bestFit="1" customWidth="1"/>
    <col min="25" max="25" width="20.7109375" bestFit="1" customWidth="1"/>
    <col min="26" max="26" width="21" bestFit="1" customWidth="1"/>
    <col min="27" max="27" width="20.7109375" bestFit="1" customWidth="1"/>
    <col min="28" max="28" width="21" bestFit="1" customWidth="1"/>
    <col min="29" max="29" width="20.7109375" bestFit="1" customWidth="1"/>
    <col min="30" max="30" width="21" bestFit="1" customWidth="1"/>
    <col min="31" max="31" width="20.7109375" bestFit="1" customWidth="1"/>
    <col min="32" max="32" width="21" bestFit="1" customWidth="1"/>
    <col min="33" max="33" width="20.7109375" bestFit="1" customWidth="1"/>
    <col min="34" max="34" width="21" bestFit="1" customWidth="1"/>
    <col min="35" max="35" width="20.7109375" bestFit="1" customWidth="1"/>
    <col min="36" max="36" width="31" bestFit="1" customWidth="1"/>
    <col min="37" max="37" width="30.7109375" bestFit="1" customWidth="1"/>
    <col min="38" max="38" width="25.7109375" bestFit="1" customWidth="1"/>
    <col min="39" max="39" width="25.42578125" bestFit="1" customWidth="1"/>
    <col min="40" max="40" width="12.140625" bestFit="1" customWidth="1"/>
    <col min="41" max="41" width="14.85546875" bestFit="1" customWidth="1"/>
    <col min="42" max="42" width="12.140625" bestFit="1" customWidth="1"/>
    <col min="43" max="43" width="14.85546875" bestFit="1" customWidth="1"/>
    <col min="44" max="44" width="12.140625" bestFit="1" customWidth="1"/>
    <col min="45" max="45" width="14.85546875" bestFit="1" customWidth="1"/>
    <col min="46" max="46" width="12.140625" bestFit="1" customWidth="1"/>
    <col min="47" max="47" width="14.85546875" bestFit="1" customWidth="1"/>
    <col min="48" max="48" width="12.140625" bestFit="1" customWidth="1"/>
    <col min="49" max="49" width="14.85546875" bestFit="1" customWidth="1"/>
    <col min="50" max="50" width="11.7109375" bestFit="1" customWidth="1"/>
    <col min="51" max="54" width="10.28515625" bestFit="1" customWidth="1"/>
    <col min="55" max="55" width="14.7109375" bestFit="1" customWidth="1"/>
    <col min="56" max="56" width="23.42578125" bestFit="1" customWidth="1"/>
    <col min="57" max="57" width="23.5703125" bestFit="1" customWidth="1"/>
    <col min="58" max="58" width="25.7109375" bestFit="1" customWidth="1"/>
    <col min="59" max="59" width="14.85546875" bestFit="1" customWidth="1"/>
    <col min="60" max="60" width="12.140625" bestFit="1" customWidth="1"/>
    <col min="61" max="61" width="14.85546875" bestFit="1" customWidth="1"/>
    <col min="62" max="62" width="12.140625" bestFit="1" customWidth="1"/>
    <col min="63" max="63" width="14.85546875" bestFit="1" customWidth="1"/>
    <col min="64" max="64" width="12.140625" bestFit="1" customWidth="1"/>
    <col min="65" max="65" width="14.85546875" bestFit="1" customWidth="1"/>
    <col min="66" max="66" width="12.140625" bestFit="1" customWidth="1"/>
    <col min="67" max="67" width="14.85546875" bestFit="1" customWidth="1"/>
    <col min="68" max="68" width="11.7109375" bestFit="1" customWidth="1"/>
    <col min="69" max="72" width="10.28515625" bestFit="1" customWidth="1"/>
    <col min="73" max="73" width="14.7109375" bestFit="1" customWidth="1"/>
    <col min="74" max="74" width="21.42578125" bestFit="1" customWidth="1"/>
    <col min="75" max="75" width="23.42578125" bestFit="1" customWidth="1"/>
    <col min="76" max="76" width="23.5703125" bestFit="1" customWidth="1"/>
    <col min="77" max="77" width="25.7109375" bestFit="1" customWidth="1"/>
  </cols>
  <sheetData>
    <row r="2" spans="1:15" x14ac:dyDescent="0.25">
      <c r="A2" t="s">
        <v>0</v>
      </c>
      <c r="B2" t="s">
        <v>95</v>
      </c>
    </row>
    <row r="4" spans="1:15" x14ac:dyDescent="0.25">
      <c r="A4" t="s">
        <v>96</v>
      </c>
      <c r="B4" t="s">
        <v>97</v>
      </c>
    </row>
    <row r="5" spans="1:15" x14ac:dyDescent="0.25">
      <c r="A5" t="s">
        <v>4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 t="s">
        <v>110</v>
      </c>
      <c r="O5" t="s">
        <v>59</v>
      </c>
    </row>
    <row r="6" spans="1:15" x14ac:dyDescent="0.25">
      <c r="A6" s="2">
        <v>1</v>
      </c>
      <c r="B6" s="9"/>
      <c r="C6" s="9"/>
      <c r="D6" s="9"/>
      <c r="E6" s="9"/>
      <c r="F6" s="9"/>
      <c r="G6" s="9"/>
      <c r="H6" s="9"/>
      <c r="I6" s="9"/>
      <c r="J6" s="9"/>
      <c r="K6" s="9">
        <v>2.8680283627897218E-2</v>
      </c>
      <c r="L6" s="9"/>
      <c r="M6" s="9"/>
      <c r="N6" s="9"/>
      <c r="O6" s="9">
        <v>2.8680283627897218E-2</v>
      </c>
    </row>
    <row r="7" spans="1:15" x14ac:dyDescent="0.25">
      <c r="A7" s="16">
        <v>46030</v>
      </c>
      <c r="B7" s="9"/>
      <c r="C7" s="9"/>
      <c r="D7" s="9"/>
      <c r="E7" s="9"/>
      <c r="F7" s="9"/>
      <c r="G7" s="9"/>
      <c r="H7" s="9"/>
      <c r="I7" s="9"/>
      <c r="J7" s="9"/>
      <c r="K7" s="9">
        <v>2.8680283627897218E-2</v>
      </c>
      <c r="L7" s="9"/>
      <c r="M7" s="9"/>
      <c r="N7" s="9"/>
      <c r="O7" s="9">
        <v>2.8680283627897218E-2</v>
      </c>
    </row>
    <row r="8" spans="1:15" x14ac:dyDescent="0.25">
      <c r="A8" s="2">
        <v>4</v>
      </c>
      <c r="B8" s="9"/>
      <c r="C8" s="9"/>
      <c r="D8" s="9"/>
      <c r="E8" s="9"/>
      <c r="F8" s="9"/>
      <c r="G8" s="9"/>
      <c r="H8" s="9"/>
      <c r="I8" s="9">
        <v>7.0405911633396615E-2</v>
      </c>
      <c r="J8" s="9"/>
      <c r="K8" s="9"/>
      <c r="L8" s="9"/>
      <c r="M8" s="9"/>
      <c r="N8" s="9"/>
      <c r="O8" s="9">
        <v>7.0405911633396615E-2</v>
      </c>
    </row>
    <row r="9" spans="1:15" x14ac:dyDescent="0.25">
      <c r="A9" s="16">
        <v>46031</v>
      </c>
      <c r="B9" s="9"/>
      <c r="C9" s="9"/>
      <c r="D9" s="9"/>
      <c r="E9" s="9"/>
      <c r="F9" s="9"/>
      <c r="G9" s="9"/>
      <c r="H9" s="9"/>
      <c r="I9" s="9">
        <v>7.0405911633396615E-2</v>
      </c>
      <c r="J9" s="9"/>
      <c r="K9" s="9"/>
      <c r="L9" s="9"/>
      <c r="M9" s="9"/>
      <c r="N9" s="9"/>
      <c r="O9" s="9">
        <v>7.0405911633396615E-2</v>
      </c>
    </row>
    <row r="10" spans="1:15" x14ac:dyDescent="0.25">
      <c r="A10" s="2">
        <v>9</v>
      </c>
      <c r="B10" s="9"/>
      <c r="C10" s="9"/>
      <c r="D10" s="9"/>
      <c r="E10" s="9"/>
      <c r="F10" s="9"/>
      <c r="G10" s="9">
        <v>0.17647058823529413</v>
      </c>
      <c r="H10" s="9"/>
      <c r="I10" s="9"/>
      <c r="J10" s="9"/>
      <c r="K10" s="9"/>
      <c r="L10" s="9"/>
      <c r="M10" s="9"/>
      <c r="N10" s="9">
        <v>6.6002949852507334E-2</v>
      </c>
      <c r="O10" s="9">
        <v>0.12123676904390074</v>
      </c>
    </row>
    <row r="11" spans="1:15" x14ac:dyDescent="0.25">
      <c r="A11" s="16">
        <v>46030</v>
      </c>
      <c r="B11" s="9"/>
      <c r="C11" s="9"/>
      <c r="D11" s="9"/>
      <c r="E11" s="9"/>
      <c r="F11" s="9"/>
      <c r="G11" s="9">
        <v>0.17647058823529413</v>
      </c>
      <c r="H11" s="9"/>
      <c r="I11" s="9"/>
      <c r="J11" s="9"/>
      <c r="K11" s="9"/>
      <c r="L11" s="9"/>
      <c r="M11" s="9"/>
      <c r="N11" s="9"/>
      <c r="O11" s="9">
        <v>0.17647058823529413</v>
      </c>
    </row>
    <row r="12" spans="1:15" x14ac:dyDescent="0.25">
      <c r="A12" s="16">
        <v>46036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>
        <v>6.6002949852507334E-2</v>
      </c>
      <c r="O12" s="9">
        <v>6.6002949852507334E-2</v>
      </c>
    </row>
    <row r="13" spans="1:15" x14ac:dyDescent="0.25">
      <c r="A13" s="2">
        <v>16</v>
      </c>
      <c r="B13" s="9">
        <v>0.17900353663833235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>
        <v>0.17900353663833235</v>
      </c>
    </row>
    <row r="14" spans="1:15" x14ac:dyDescent="0.25">
      <c r="A14" s="16">
        <v>46001</v>
      </c>
      <c r="B14" s="9">
        <v>0.17900353663833235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0.17900353663833235</v>
      </c>
    </row>
    <row r="15" spans="1:15" x14ac:dyDescent="0.25">
      <c r="A15" s="2">
        <v>22</v>
      </c>
      <c r="B15" s="9"/>
      <c r="C15" s="9">
        <v>0.14097279472382507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>
        <v>0.14097279472382507</v>
      </c>
    </row>
    <row r="16" spans="1:15" x14ac:dyDescent="0.25">
      <c r="A16" s="16">
        <v>46007</v>
      </c>
      <c r="B16" s="9"/>
      <c r="C16" s="9">
        <v>0.14097279472382507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>
        <v>0.14097279472382507</v>
      </c>
    </row>
    <row r="17" spans="1:15" x14ac:dyDescent="0.25">
      <c r="A17" s="2">
        <v>26</v>
      </c>
      <c r="B17" s="9"/>
      <c r="C17" s="9"/>
      <c r="D17" s="9"/>
      <c r="E17" s="9"/>
      <c r="F17" s="9">
        <v>0.26099706744868029</v>
      </c>
      <c r="G17" s="9"/>
      <c r="H17" s="9"/>
      <c r="I17" s="9"/>
      <c r="J17" s="9"/>
      <c r="K17" s="9"/>
      <c r="L17" s="9"/>
      <c r="M17" s="9"/>
      <c r="N17" s="9"/>
      <c r="O17" s="9">
        <v>0.26099706744868029</v>
      </c>
    </row>
    <row r="18" spans="1:15" x14ac:dyDescent="0.25">
      <c r="A18" s="16">
        <v>46015</v>
      </c>
      <c r="B18" s="9"/>
      <c r="C18" s="9"/>
      <c r="D18" s="9"/>
      <c r="E18" s="9"/>
      <c r="F18" s="9">
        <v>0.26099706744868029</v>
      </c>
      <c r="G18" s="9"/>
      <c r="H18" s="9"/>
      <c r="I18" s="9"/>
      <c r="J18" s="9"/>
      <c r="K18" s="9"/>
      <c r="L18" s="9"/>
      <c r="M18" s="9"/>
      <c r="N18" s="9"/>
      <c r="O18" s="9">
        <v>0.26099706744868029</v>
      </c>
    </row>
    <row r="19" spans="1:15" x14ac:dyDescent="0.25">
      <c r="A19" s="2">
        <v>29</v>
      </c>
      <c r="B19" s="9"/>
      <c r="C19" s="9"/>
      <c r="D19" s="9"/>
      <c r="E19" s="9"/>
      <c r="F19" s="9"/>
      <c r="G19" s="9"/>
      <c r="H19" s="9">
        <v>0.19787449392712547</v>
      </c>
      <c r="I19" s="9"/>
      <c r="J19" s="9"/>
      <c r="K19" s="9"/>
      <c r="L19" s="9"/>
      <c r="M19" s="9"/>
      <c r="N19" s="9"/>
      <c r="O19" s="9">
        <v>0.19787449392712547</v>
      </c>
    </row>
    <row r="20" spans="1:15" x14ac:dyDescent="0.25">
      <c r="A20" s="16">
        <v>46030</v>
      </c>
      <c r="B20" s="9"/>
      <c r="C20" s="9"/>
      <c r="D20" s="9"/>
      <c r="E20" s="9"/>
      <c r="F20" s="9"/>
      <c r="G20" s="9"/>
      <c r="H20" s="9">
        <v>0.19787449392712547</v>
      </c>
      <c r="I20" s="9"/>
      <c r="J20" s="9"/>
      <c r="K20" s="9"/>
      <c r="L20" s="9"/>
      <c r="M20" s="9"/>
      <c r="N20" s="9"/>
      <c r="O20" s="9">
        <v>0.19787449392712547</v>
      </c>
    </row>
    <row r="21" spans="1:15" x14ac:dyDescent="0.25">
      <c r="A21" s="2">
        <v>33</v>
      </c>
      <c r="B21" s="9"/>
      <c r="C21" s="9"/>
      <c r="D21" s="9"/>
      <c r="E21" s="9">
        <v>0.13427762039660063</v>
      </c>
      <c r="F21" s="9"/>
      <c r="G21" s="9"/>
      <c r="H21" s="9"/>
      <c r="I21" s="9"/>
      <c r="J21" s="9"/>
      <c r="K21" s="9"/>
      <c r="L21" s="9"/>
      <c r="M21" s="9">
        <v>0.20561337117628509</v>
      </c>
      <c r="N21" s="9"/>
      <c r="O21" s="9">
        <v>0.16994549578644286</v>
      </c>
    </row>
    <row r="22" spans="1:15" x14ac:dyDescent="0.25">
      <c r="A22" s="16">
        <v>46013</v>
      </c>
      <c r="B22" s="9"/>
      <c r="C22" s="9"/>
      <c r="D22" s="9"/>
      <c r="E22" s="9">
        <v>0.13427762039660063</v>
      </c>
      <c r="F22" s="9"/>
      <c r="G22" s="9"/>
      <c r="H22" s="9"/>
      <c r="I22" s="9"/>
      <c r="J22" s="9"/>
      <c r="K22" s="9"/>
      <c r="L22" s="9"/>
      <c r="M22" s="9"/>
      <c r="N22" s="9"/>
      <c r="O22" s="9">
        <v>0.13427762039660063</v>
      </c>
    </row>
    <row r="23" spans="1:15" x14ac:dyDescent="0.25">
      <c r="A23" s="16">
        <v>46034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>
        <v>0.20561337117628509</v>
      </c>
      <c r="N23" s="9"/>
      <c r="O23" s="9">
        <v>0.20561337117628509</v>
      </c>
    </row>
    <row r="24" spans="1:15" x14ac:dyDescent="0.25">
      <c r="A24" s="2">
        <v>34</v>
      </c>
      <c r="B24" s="9"/>
      <c r="C24" s="9"/>
      <c r="D24" s="9">
        <v>0.11526946107784429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>
        <v>0.11526946107784429</v>
      </c>
    </row>
    <row r="25" spans="1:15" x14ac:dyDescent="0.25">
      <c r="A25" s="16">
        <v>46014</v>
      </c>
      <c r="B25" s="9"/>
      <c r="C25" s="9"/>
      <c r="D25" s="9">
        <v>0.11526946107784429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>
        <v>0.11526946107784429</v>
      </c>
    </row>
    <row r="26" spans="1:15" x14ac:dyDescent="0.25">
      <c r="A26" s="2">
        <v>43</v>
      </c>
      <c r="B26" s="9"/>
      <c r="C26" s="9"/>
      <c r="D26" s="9"/>
      <c r="E26" s="9"/>
      <c r="F26" s="9"/>
      <c r="G26" s="9"/>
      <c r="H26" s="9"/>
      <c r="I26" s="9"/>
      <c r="J26" s="9">
        <v>0.32567388422448079</v>
      </c>
      <c r="K26" s="9"/>
      <c r="L26" s="9"/>
      <c r="M26" s="9"/>
      <c r="N26" s="9"/>
      <c r="O26" s="9">
        <v>0.32567388422448079</v>
      </c>
    </row>
    <row r="27" spans="1:15" x14ac:dyDescent="0.25">
      <c r="A27" s="16">
        <v>46030</v>
      </c>
      <c r="B27" s="9"/>
      <c r="C27" s="9"/>
      <c r="D27" s="9"/>
      <c r="E27" s="9"/>
      <c r="F27" s="9"/>
      <c r="G27" s="9"/>
      <c r="H27" s="9"/>
      <c r="I27" s="9"/>
      <c r="J27" s="9">
        <v>0.32567388422448079</v>
      </c>
      <c r="K27" s="9"/>
      <c r="L27" s="9"/>
      <c r="M27" s="9"/>
      <c r="N27" s="9"/>
      <c r="O27" s="9">
        <v>0.32567388422448079</v>
      </c>
    </row>
    <row r="28" spans="1:15" x14ac:dyDescent="0.25">
      <c r="A28" s="2">
        <v>45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>
        <v>0.1669687358405075</v>
      </c>
      <c r="M28" s="9"/>
      <c r="N28" s="9"/>
      <c r="O28" s="9">
        <v>0.1669687358405075</v>
      </c>
    </row>
    <row r="29" spans="1:15" x14ac:dyDescent="0.25">
      <c r="A29" s="16">
        <v>46027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>
        <v>0.1669687358405075</v>
      </c>
      <c r="M29" s="9"/>
      <c r="N29" s="9"/>
      <c r="O29" s="9">
        <v>0.1669687358405075</v>
      </c>
    </row>
    <row r="30" spans="1:15" x14ac:dyDescent="0.25">
      <c r="A30" s="2" t="s">
        <v>59</v>
      </c>
      <c r="B30" s="9">
        <v>0.17900353663833235</v>
      </c>
      <c r="C30" s="9">
        <v>0.14097279472382507</v>
      </c>
      <c r="D30" s="9">
        <v>0.11526946107784429</v>
      </c>
      <c r="E30" s="9">
        <v>0.13427762039660063</v>
      </c>
      <c r="F30" s="9">
        <v>0.26099706744868029</v>
      </c>
      <c r="G30" s="9">
        <v>0.17647058823529413</v>
      </c>
      <c r="H30" s="9">
        <v>0.19787449392712547</v>
      </c>
      <c r="I30" s="9">
        <v>7.0405911633396615E-2</v>
      </c>
      <c r="J30" s="9">
        <v>0.32567388422448079</v>
      </c>
      <c r="K30" s="9">
        <v>2.8680283627897218E-2</v>
      </c>
      <c r="L30" s="9">
        <v>0.1669687358405075</v>
      </c>
      <c r="M30" s="9">
        <v>0.20561337117628509</v>
      </c>
      <c r="N30" s="9">
        <v>6.6002949852507334E-2</v>
      </c>
      <c r="O30" s="9">
        <v>0.15909313067713665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C7D1-C117-43C3-9C23-A1D86464E925}">
  <sheetPr>
    <tabColor theme="5" tint="0.59999389629810485"/>
  </sheetPr>
  <dimension ref="A2:L24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22.28515625" bestFit="1" customWidth="1"/>
    <col min="2" max="2" width="22.42578125" bestFit="1" customWidth="1"/>
    <col min="3" max="3" width="6.7109375" bestFit="1" customWidth="1"/>
    <col min="4" max="4" width="7" bestFit="1" customWidth="1"/>
    <col min="5" max="7" width="5.85546875" bestFit="1" customWidth="1"/>
    <col min="8" max="8" width="7.5703125" bestFit="1" customWidth="1"/>
    <col min="9" max="9" width="6.7109375" bestFit="1" customWidth="1"/>
    <col min="10" max="10" width="5.85546875" bestFit="1" customWidth="1"/>
    <col min="11" max="11" width="7" bestFit="1" customWidth="1"/>
    <col min="12" max="12" width="12.5703125" bestFit="1" customWidth="1"/>
    <col min="13" max="13" width="14.85546875" bestFit="1" customWidth="1"/>
    <col min="14" max="14" width="12.140625" bestFit="1" customWidth="1"/>
    <col min="15" max="15" width="14.85546875" bestFit="1" customWidth="1"/>
    <col min="16" max="16" width="12.140625" bestFit="1" customWidth="1"/>
    <col min="17" max="17" width="14.85546875" bestFit="1" customWidth="1"/>
    <col min="18" max="18" width="12.140625" bestFit="1" customWidth="1"/>
    <col min="19" max="19" width="6.42578125" bestFit="1" customWidth="1"/>
    <col min="20" max="20" width="14.85546875" bestFit="1" customWidth="1"/>
    <col min="21" max="21" width="11.7109375" bestFit="1" customWidth="1"/>
    <col min="22" max="24" width="7.85546875" bestFit="1" customWidth="1"/>
    <col min="25" max="25" width="14.7109375" bestFit="1" customWidth="1"/>
    <col min="26" max="26" width="12.140625" bestFit="1" customWidth="1"/>
    <col min="27" max="27" width="14.85546875" bestFit="1" customWidth="1"/>
    <col min="28" max="28" width="12.140625" bestFit="1" customWidth="1"/>
    <col min="29" max="29" width="14.85546875" bestFit="1" customWidth="1"/>
    <col min="30" max="30" width="12.140625" bestFit="1" customWidth="1"/>
    <col min="31" max="31" width="6.42578125" bestFit="1" customWidth="1"/>
    <col min="32" max="32" width="14.85546875" bestFit="1" customWidth="1"/>
    <col min="33" max="33" width="11.7109375" bestFit="1" customWidth="1"/>
    <col min="34" max="34" width="21" bestFit="1" customWidth="1"/>
    <col min="35" max="35" width="20.7109375" bestFit="1" customWidth="1"/>
    <col min="36" max="36" width="31" bestFit="1" customWidth="1"/>
    <col min="37" max="37" width="30.7109375" bestFit="1" customWidth="1"/>
    <col min="38" max="38" width="25.7109375" bestFit="1" customWidth="1"/>
    <col min="39" max="39" width="25.42578125" bestFit="1" customWidth="1"/>
    <col min="40" max="40" width="12.140625" bestFit="1" customWidth="1"/>
    <col min="41" max="41" width="14.85546875" bestFit="1" customWidth="1"/>
    <col min="42" max="42" width="12.140625" bestFit="1" customWidth="1"/>
    <col min="43" max="43" width="14.85546875" bestFit="1" customWidth="1"/>
    <col min="44" max="44" width="12.140625" bestFit="1" customWidth="1"/>
    <col min="45" max="45" width="14.85546875" bestFit="1" customWidth="1"/>
    <col min="46" max="46" width="12.140625" bestFit="1" customWidth="1"/>
    <col min="47" max="47" width="14.85546875" bestFit="1" customWidth="1"/>
    <col min="48" max="48" width="12.140625" bestFit="1" customWidth="1"/>
    <col min="49" max="49" width="14.85546875" bestFit="1" customWidth="1"/>
    <col min="50" max="50" width="11.7109375" bestFit="1" customWidth="1"/>
    <col min="51" max="54" width="10.28515625" bestFit="1" customWidth="1"/>
    <col min="55" max="55" width="14.7109375" bestFit="1" customWidth="1"/>
    <col min="56" max="56" width="23.42578125" bestFit="1" customWidth="1"/>
    <col min="57" max="57" width="23.5703125" bestFit="1" customWidth="1"/>
    <col min="58" max="58" width="25.7109375" bestFit="1" customWidth="1"/>
    <col min="59" max="59" width="14.85546875" bestFit="1" customWidth="1"/>
    <col min="60" max="60" width="12.140625" bestFit="1" customWidth="1"/>
    <col min="61" max="61" width="14.85546875" bestFit="1" customWidth="1"/>
    <col min="62" max="62" width="12.140625" bestFit="1" customWidth="1"/>
    <col min="63" max="63" width="14.85546875" bestFit="1" customWidth="1"/>
    <col min="64" max="64" width="12.140625" bestFit="1" customWidth="1"/>
    <col min="65" max="65" width="14.85546875" bestFit="1" customWidth="1"/>
    <col min="66" max="66" width="12.140625" bestFit="1" customWidth="1"/>
    <col min="67" max="67" width="14.85546875" bestFit="1" customWidth="1"/>
    <col min="68" max="68" width="11.7109375" bestFit="1" customWidth="1"/>
    <col min="69" max="72" width="10.28515625" bestFit="1" customWidth="1"/>
    <col min="73" max="73" width="14.7109375" bestFit="1" customWidth="1"/>
    <col min="74" max="74" width="21.42578125" bestFit="1" customWidth="1"/>
    <col min="75" max="75" width="23.42578125" bestFit="1" customWidth="1"/>
    <col min="76" max="76" width="23.5703125" bestFit="1" customWidth="1"/>
    <col min="77" max="77" width="25.7109375" bestFit="1" customWidth="1"/>
  </cols>
  <sheetData>
    <row r="2" spans="1:12" x14ac:dyDescent="0.25">
      <c r="A2" t="s">
        <v>0</v>
      </c>
      <c r="B2" t="s">
        <v>95</v>
      </c>
    </row>
    <row r="4" spans="1:12" x14ac:dyDescent="0.25">
      <c r="A4" t="s">
        <v>111</v>
      </c>
      <c r="B4" t="s">
        <v>97</v>
      </c>
    </row>
    <row r="5" spans="1:12" x14ac:dyDescent="0.25">
      <c r="A5" t="s">
        <v>4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59</v>
      </c>
    </row>
    <row r="6" spans="1:12" x14ac:dyDescent="0.25">
      <c r="A6" s="14">
        <v>45989</v>
      </c>
      <c r="B6" s="17">
        <v>-2.2004889975550009E-2</v>
      </c>
      <c r="C6" s="17"/>
      <c r="D6" s="17"/>
      <c r="E6" s="17"/>
      <c r="F6" s="17"/>
      <c r="G6" s="17"/>
      <c r="H6" s="17"/>
      <c r="I6" s="17"/>
      <c r="J6" s="17"/>
      <c r="K6" s="17"/>
      <c r="L6" s="17">
        <v>-2.2004889975550009E-2</v>
      </c>
    </row>
    <row r="7" spans="1:12" x14ac:dyDescent="0.25">
      <c r="A7" s="15">
        <v>10</v>
      </c>
      <c r="B7" s="17">
        <v>-2.2004889975550009E-2</v>
      </c>
      <c r="C7" s="17"/>
      <c r="D7" s="17"/>
      <c r="E7" s="17"/>
      <c r="F7" s="17"/>
      <c r="G7" s="17"/>
      <c r="H7" s="17"/>
      <c r="I7" s="17"/>
      <c r="J7" s="17"/>
      <c r="K7" s="17"/>
      <c r="L7" s="17">
        <v>-2.2004889975550009E-2</v>
      </c>
    </row>
    <row r="8" spans="1:12" x14ac:dyDescent="0.25">
      <c r="A8" s="14">
        <v>45999</v>
      </c>
      <c r="B8" s="17"/>
      <c r="C8" s="17">
        <v>-6.9069069069069122E-2</v>
      </c>
      <c r="D8" s="17"/>
      <c r="E8" s="17"/>
      <c r="F8" s="17"/>
      <c r="G8" s="17"/>
      <c r="H8" s="17"/>
      <c r="I8" s="17"/>
      <c r="J8" s="17"/>
      <c r="K8" s="17"/>
      <c r="L8" s="17">
        <v>-6.9069069069069122E-2</v>
      </c>
    </row>
    <row r="9" spans="1:12" x14ac:dyDescent="0.25">
      <c r="A9" s="15">
        <v>20</v>
      </c>
      <c r="B9" s="17"/>
      <c r="C9" s="17">
        <v>-6.9069069069069122E-2</v>
      </c>
      <c r="D9" s="17"/>
      <c r="E9" s="17"/>
      <c r="F9" s="17"/>
      <c r="G9" s="17"/>
      <c r="H9" s="17"/>
      <c r="I9" s="17"/>
      <c r="J9" s="17"/>
      <c r="K9" s="17"/>
      <c r="L9" s="17">
        <v>-6.9069069069069122E-2</v>
      </c>
    </row>
    <row r="10" spans="1:12" x14ac:dyDescent="0.25">
      <c r="A10" s="14">
        <v>46001</v>
      </c>
      <c r="B10" s="17"/>
      <c r="C10" s="17"/>
      <c r="D10" s="17">
        <v>-6.4247921390778492E-2</v>
      </c>
      <c r="E10" s="17"/>
      <c r="F10" s="17"/>
      <c r="G10" s="17"/>
      <c r="H10" s="17"/>
      <c r="I10" s="17"/>
      <c r="J10" s="17"/>
      <c r="K10" s="17"/>
      <c r="L10" s="17">
        <v>-6.4247921390778492E-2</v>
      </c>
    </row>
    <row r="11" spans="1:12" x14ac:dyDescent="0.25">
      <c r="A11" s="15">
        <v>16</v>
      </c>
      <c r="B11" s="17"/>
      <c r="C11" s="17"/>
      <c r="D11" s="17">
        <v>-6.4247921390778492E-2</v>
      </c>
      <c r="E11" s="17"/>
      <c r="F11" s="17"/>
      <c r="G11" s="17"/>
      <c r="H11" s="17"/>
      <c r="I11" s="17"/>
      <c r="J11" s="17"/>
      <c r="K11" s="17"/>
      <c r="L11" s="17">
        <v>-6.4247921390778492E-2</v>
      </c>
    </row>
    <row r="12" spans="1:12" x14ac:dyDescent="0.25">
      <c r="A12" s="14">
        <v>46007</v>
      </c>
      <c r="B12" s="17"/>
      <c r="C12" s="17"/>
      <c r="D12" s="17"/>
      <c r="E12" s="17">
        <v>-5.6808915466159182E-2</v>
      </c>
      <c r="F12" s="17"/>
      <c r="G12" s="17"/>
      <c r="H12" s="17"/>
      <c r="I12" s="17"/>
      <c r="J12" s="17"/>
      <c r="K12" s="17"/>
      <c r="L12" s="17">
        <v>-5.6808915466159182E-2</v>
      </c>
    </row>
    <row r="13" spans="1:12" x14ac:dyDescent="0.25">
      <c r="A13" s="15">
        <v>22</v>
      </c>
      <c r="B13" s="17"/>
      <c r="C13" s="17"/>
      <c r="D13" s="17"/>
      <c r="E13" s="17">
        <v>-5.6808915466159182E-2</v>
      </c>
      <c r="F13" s="17"/>
      <c r="G13" s="17"/>
      <c r="H13" s="17"/>
      <c r="I13" s="17"/>
      <c r="J13" s="17"/>
      <c r="K13" s="17"/>
      <c r="L13" s="17">
        <v>-5.6808915466159182E-2</v>
      </c>
    </row>
    <row r="14" spans="1:12" x14ac:dyDescent="0.25">
      <c r="A14" s="14">
        <v>46010</v>
      </c>
      <c r="B14" s="17"/>
      <c r="C14" s="17"/>
      <c r="D14" s="17"/>
      <c r="E14" s="17"/>
      <c r="F14" s="17">
        <v>-2.8189910979228544E-2</v>
      </c>
      <c r="G14" s="17"/>
      <c r="H14" s="17"/>
      <c r="I14" s="17"/>
      <c r="J14" s="17"/>
      <c r="K14" s="17"/>
      <c r="L14" s="17">
        <v>-2.8189910979228544E-2</v>
      </c>
    </row>
    <row r="15" spans="1:12" x14ac:dyDescent="0.25">
      <c r="A15" s="15">
        <v>3</v>
      </c>
      <c r="B15" s="17"/>
      <c r="C15" s="17"/>
      <c r="D15" s="17"/>
      <c r="E15" s="17"/>
      <c r="F15" s="17">
        <v>-2.8189910979228544E-2</v>
      </c>
      <c r="G15" s="17"/>
      <c r="H15" s="17"/>
      <c r="I15" s="17"/>
      <c r="J15" s="17"/>
      <c r="K15" s="17"/>
      <c r="L15" s="17">
        <v>-2.8189910979228544E-2</v>
      </c>
    </row>
    <row r="16" spans="1:12" x14ac:dyDescent="0.25">
      <c r="A16" s="14">
        <v>46014</v>
      </c>
      <c r="B16" s="17"/>
      <c r="C16" s="17"/>
      <c r="D16" s="17"/>
      <c r="E16" s="17"/>
      <c r="F16" s="17"/>
      <c r="G16" s="17">
        <v>-4.4097222222222211E-2</v>
      </c>
      <c r="H16" s="17"/>
      <c r="I16" s="17"/>
      <c r="J16" s="17"/>
      <c r="K16" s="17"/>
      <c r="L16" s="17">
        <v>-4.4097222222222211E-2</v>
      </c>
    </row>
    <row r="17" spans="1:12" x14ac:dyDescent="0.25">
      <c r="A17" s="15">
        <v>8</v>
      </c>
      <c r="B17" s="17"/>
      <c r="C17" s="17"/>
      <c r="D17" s="17"/>
      <c r="E17" s="17"/>
      <c r="F17" s="17"/>
      <c r="G17" s="17">
        <v>-4.4097222222222211E-2</v>
      </c>
      <c r="H17" s="17"/>
      <c r="I17" s="17"/>
      <c r="J17" s="17"/>
      <c r="K17" s="17"/>
      <c r="L17" s="17">
        <v>-4.4097222222222211E-2</v>
      </c>
    </row>
    <row r="18" spans="1:12" x14ac:dyDescent="0.25">
      <c r="A18" s="14">
        <v>46024</v>
      </c>
      <c r="B18" s="17"/>
      <c r="C18" s="17"/>
      <c r="D18" s="17"/>
      <c r="E18" s="17"/>
      <c r="F18" s="17"/>
      <c r="G18" s="17"/>
      <c r="H18" s="17">
        <v>-3.8171280853902603E-2</v>
      </c>
      <c r="I18" s="17"/>
      <c r="J18" s="17"/>
      <c r="K18" s="17"/>
      <c r="L18" s="17">
        <v>-3.8171280853902603E-2</v>
      </c>
    </row>
    <row r="19" spans="1:12" x14ac:dyDescent="0.25">
      <c r="A19" s="15">
        <v>3</v>
      </c>
      <c r="B19" s="17"/>
      <c r="C19" s="17"/>
      <c r="D19" s="17"/>
      <c r="E19" s="17"/>
      <c r="F19" s="17"/>
      <c r="G19" s="17"/>
      <c r="H19" s="17">
        <v>-3.8171280853902603E-2</v>
      </c>
      <c r="I19" s="17"/>
      <c r="J19" s="17"/>
      <c r="K19" s="17"/>
      <c r="L19" s="17">
        <v>-3.8171280853902603E-2</v>
      </c>
    </row>
    <row r="20" spans="1:12" x14ac:dyDescent="0.25">
      <c r="A20" s="14">
        <v>46031</v>
      </c>
      <c r="B20" s="17"/>
      <c r="C20" s="17"/>
      <c r="D20" s="17"/>
      <c r="E20" s="17"/>
      <c r="F20" s="17"/>
      <c r="G20" s="17"/>
      <c r="H20" s="17"/>
      <c r="I20" s="17">
        <v>-5.4466230936818013E-3</v>
      </c>
      <c r="J20" s="17"/>
      <c r="K20" s="17"/>
      <c r="L20" s="17">
        <v>-5.4466230936818013E-3</v>
      </c>
    </row>
    <row r="21" spans="1:12" x14ac:dyDescent="0.25">
      <c r="A21" s="15">
        <v>1</v>
      </c>
      <c r="B21" s="17"/>
      <c r="C21" s="17"/>
      <c r="D21" s="17"/>
      <c r="E21" s="17"/>
      <c r="F21" s="17"/>
      <c r="G21" s="17"/>
      <c r="H21" s="17"/>
      <c r="I21" s="17">
        <v>-5.4466230936818013E-3</v>
      </c>
      <c r="J21" s="17"/>
      <c r="K21" s="17"/>
      <c r="L21" s="17">
        <v>-5.4466230936818013E-3</v>
      </c>
    </row>
    <row r="22" spans="1:12" x14ac:dyDescent="0.25">
      <c r="A22" s="14">
        <v>46027</v>
      </c>
      <c r="B22" s="17"/>
      <c r="C22" s="17"/>
      <c r="D22" s="17"/>
      <c r="E22" s="17"/>
      <c r="F22" s="17"/>
      <c r="G22" s="17"/>
      <c r="H22" s="17"/>
      <c r="I22" s="17"/>
      <c r="J22" s="17">
        <v>-1.5957446808510457E-2</v>
      </c>
      <c r="K22" s="17">
        <v>-3.875968992248117E-3</v>
      </c>
      <c r="L22" s="17">
        <v>-9.9167079003792871E-3</v>
      </c>
    </row>
    <row r="23" spans="1:12" x14ac:dyDescent="0.25">
      <c r="A23" s="15">
        <v>0</v>
      </c>
      <c r="B23" s="17"/>
      <c r="C23" s="17"/>
      <c r="D23" s="17"/>
      <c r="E23" s="17"/>
      <c r="F23" s="17"/>
      <c r="G23" s="17"/>
      <c r="H23" s="17"/>
      <c r="I23" s="17"/>
      <c r="J23" s="17">
        <v>-1.5957446808510457E-2</v>
      </c>
      <c r="K23" s="17">
        <v>-3.875968992248117E-3</v>
      </c>
      <c r="L23" s="17">
        <v>-9.9167079003792871E-3</v>
      </c>
    </row>
    <row r="24" spans="1:12" x14ac:dyDescent="0.25">
      <c r="A24" s="2" t="s">
        <v>59</v>
      </c>
      <c r="B24" s="17">
        <v>-2.2004889975550009E-2</v>
      </c>
      <c r="C24" s="17">
        <v>-6.9069069069069122E-2</v>
      </c>
      <c r="D24" s="17">
        <v>-6.4247921390778492E-2</v>
      </c>
      <c r="E24" s="17">
        <v>-5.6808915466159182E-2</v>
      </c>
      <c r="F24" s="17">
        <v>-2.8189910979228544E-2</v>
      </c>
      <c r="G24" s="17">
        <v>-4.4097222222222211E-2</v>
      </c>
      <c r="H24" s="17">
        <v>-3.8171280853902603E-2</v>
      </c>
      <c r="I24" s="17">
        <v>-5.4466230936818013E-3</v>
      </c>
      <c r="J24" s="17">
        <v>-1.5957446808510457E-2</v>
      </c>
      <c r="K24" s="17">
        <v>-3.875968992248117E-3</v>
      </c>
      <c r="L24" s="17">
        <v>-3.4786924885135059E-2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33E5-338F-4861-B74F-17887CF5EEBD}">
  <sheetPr>
    <tabColor theme="5" tint="0.59999389629810485"/>
  </sheetPr>
  <dimension ref="A2:L23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22.28515625" bestFit="1" customWidth="1"/>
    <col min="2" max="2" width="22.42578125" bestFit="1" customWidth="1"/>
    <col min="3" max="3" width="6.7109375" bestFit="1" customWidth="1"/>
    <col min="4" max="4" width="7" bestFit="1" customWidth="1"/>
    <col min="5" max="7" width="5.85546875" bestFit="1" customWidth="1"/>
    <col min="8" max="8" width="7.5703125" bestFit="1" customWidth="1"/>
    <col min="9" max="9" width="6.7109375" bestFit="1" customWidth="1"/>
    <col min="10" max="10" width="5.85546875" bestFit="1" customWidth="1"/>
    <col min="11" max="11" width="7" bestFit="1" customWidth="1"/>
    <col min="12" max="12" width="12.5703125" bestFit="1" customWidth="1"/>
    <col min="13" max="13" width="14.85546875" bestFit="1" customWidth="1"/>
    <col min="14" max="14" width="12.140625" bestFit="1" customWidth="1"/>
    <col min="15" max="15" width="14.85546875" bestFit="1" customWidth="1"/>
    <col min="16" max="16" width="12.140625" bestFit="1" customWidth="1"/>
    <col min="17" max="17" width="14.85546875" bestFit="1" customWidth="1"/>
    <col min="18" max="18" width="12.140625" bestFit="1" customWidth="1"/>
    <col min="19" max="19" width="6.42578125" bestFit="1" customWidth="1"/>
    <col min="20" max="20" width="14.85546875" bestFit="1" customWidth="1"/>
    <col min="21" max="21" width="11.7109375" bestFit="1" customWidth="1"/>
    <col min="22" max="24" width="7.85546875" bestFit="1" customWidth="1"/>
    <col min="25" max="25" width="14.7109375" bestFit="1" customWidth="1"/>
    <col min="26" max="26" width="12.140625" bestFit="1" customWidth="1"/>
    <col min="27" max="27" width="14.85546875" bestFit="1" customWidth="1"/>
    <col min="28" max="28" width="12.140625" bestFit="1" customWidth="1"/>
    <col min="29" max="29" width="14.85546875" bestFit="1" customWidth="1"/>
    <col min="30" max="30" width="12.140625" bestFit="1" customWidth="1"/>
    <col min="31" max="31" width="6.42578125" bestFit="1" customWidth="1"/>
    <col min="32" max="32" width="14.85546875" bestFit="1" customWidth="1"/>
    <col min="33" max="33" width="11.7109375" bestFit="1" customWidth="1"/>
    <col min="34" max="34" width="21" bestFit="1" customWidth="1"/>
    <col min="35" max="35" width="20.7109375" bestFit="1" customWidth="1"/>
    <col min="36" max="36" width="31" bestFit="1" customWidth="1"/>
    <col min="37" max="37" width="30.7109375" bestFit="1" customWidth="1"/>
    <col min="38" max="38" width="25.7109375" bestFit="1" customWidth="1"/>
    <col min="39" max="39" width="25.42578125" bestFit="1" customWidth="1"/>
    <col min="40" max="40" width="12.140625" bestFit="1" customWidth="1"/>
    <col min="41" max="41" width="14.85546875" bestFit="1" customWidth="1"/>
    <col min="42" max="42" width="12.140625" bestFit="1" customWidth="1"/>
    <col min="43" max="43" width="14.85546875" bestFit="1" customWidth="1"/>
    <col min="44" max="44" width="12.140625" bestFit="1" customWidth="1"/>
    <col min="45" max="45" width="14.85546875" bestFit="1" customWidth="1"/>
    <col min="46" max="46" width="12.140625" bestFit="1" customWidth="1"/>
    <col min="47" max="47" width="14.85546875" bestFit="1" customWidth="1"/>
    <col min="48" max="48" width="12.140625" bestFit="1" customWidth="1"/>
    <col min="49" max="49" width="14.85546875" bestFit="1" customWidth="1"/>
    <col min="50" max="50" width="11.7109375" bestFit="1" customWidth="1"/>
    <col min="51" max="54" width="10.28515625" bestFit="1" customWidth="1"/>
    <col min="55" max="55" width="14.7109375" bestFit="1" customWidth="1"/>
    <col min="56" max="56" width="23.42578125" bestFit="1" customWidth="1"/>
    <col min="57" max="57" width="23.5703125" bestFit="1" customWidth="1"/>
    <col min="58" max="58" width="25.7109375" bestFit="1" customWidth="1"/>
    <col min="59" max="59" width="14.85546875" bestFit="1" customWidth="1"/>
    <col min="60" max="60" width="12.140625" bestFit="1" customWidth="1"/>
    <col min="61" max="61" width="14.85546875" bestFit="1" customWidth="1"/>
    <col min="62" max="62" width="12.140625" bestFit="1" customWidth="1"/>
    <col min="63" max="63" width="14.85546875" bestFit="1" customWidth="1"/>
    <col min="64" max="64" width="12.140625" bestFit="1" customWidth="1"/>
    <col min="65" max="65" width="14.85546875" bestFit="1" customWidth="1"/>
    <col min="66" max="66" width="12.140625" bestFit="1" customWidth="1"/>
    <col min="67" max="67" width="14.85546875" bestFit="1" customWidth="1"/>
    <col min="68" max="68" width="11.7109375" bestFit="1" customWidth="1"/>
    <col min="69" max="72" width="10.28515625" bestFit="1" customWidth="1"/>
    <col min="73" max="73" width="14.7109375" bestFit="1" customWidth="1"/>
    <col min="74" max="74" width="21.42578125" bestFit="1" customWidth="1"/>
    <col min="75" max="75" width="23.42578125" bestFit="1" customWidth="1"/>
    <col min="76" max="76" width="23.5703125" bestFit="1" customWidth="1"/>
    <col min="77" max="77" width="25.7109375" bestFit="1" customWidth="1"/>
  </cols>
  <sheetData>
    <row r="2" spans="1:12" x14ac:dyDescent="0.25">
      <c r="A2" t="s">
        <v>0</v>
      </c>
      <c r="B2" t="s">
        <v>95</v>
      </c>
    </row>
    <row r="4" spans="1:12" x14ac:dyDescent="0.25">
      <c r="A4" t="s">
        <v>111</v>
      </c>
      <c r="B4" t="s">
        <v>97</v>
      </c>
    </row>
    <row r="5" spans="1:12" x14ac:dyDescent="0.25">
      <c r="A5" t="s">
        <v>4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59</v>
      </c>
    </row>
    <row r="6" spans="1:12" x14ac:dyDescent="0.25">
      <c r="A6" s="2">
        <v>0</v>
      </c>
      <c r="B6" s="17"/>
      <c r="C6" s="17"/>
      <c r="D6" s="17"/>
      <c r="E6" s="17"/>
      <c r="F6" s="17"/>
      <c r="G6" s="17"/>
      <c r="H6" s="17"/>
      <c r="I6" s="17"/>
      <c r="J6" s="17">
        <v>-1.5957446808510457E-2</v>
      </c>
      <c r="K6" s="17">
        <v>-3.875968992248117E-3</v>
      </c>
      <c r="L6" s="17">
        <v>-9.9167079003792871E-3</v>
      </c>
    </row>
    <row r="7" spans="1:12" x14ac:dyDescent="0.25">
      <c r="A7" s="16">
        <v>46027</v>
      </c>
      <c r="B7" s="17"/>
      <c r="C7" s="17"/>
      <c r="D7" s="17"/>
      <c r="E7" s="17"/>
      <c r="F7" s="17"/>
      <c r="G7" s="17"/>
      <c r="H7" s="17"/>
      <c r="I7" s="17"/>
      <c r="J7" s="17">
        <v>-1.5957446808510457E-2</v>
      </c>
      <c r="K7" s="17">
        <v>-3.875968992248117E-3</v>
      </c>
      <c r="L7" s="17">
        <v>-9.9167079003792871E-3</v>
      </c>
    </row>
    <row r="8" spans="1:12" x14ac:dyDescent="0.25">
      <c r="A8" s="2">
        <v>1</v>
      </c>
      <c r="B8" s="17"/>
      <c r="C8" s="17"/>
      <c r="D8" s="17"/>
      <c r="E8" s="17"/>
      <c r="F8" s="17"/>
      <c r="G8" s="17"/>
      <c r="H8" s="17"/>
      <c r="I8" s="17">
        <v>-5.4466230936818013E-3</v>
      </c>
      <c r="J8" s="17"/>
      <c r="K8" s="17"/>
      <c r="L8" s="17">
        <v>-5.4466230936818013E-3</v>
      </c>
    </row>
    <row r="9" spans="1:12" x14ac:dyDescent="0.25">
      <c r="A9" s="16">
        <v>46031</v>
      </c>
      <c r="B9" s="17"/>
      <c r="C9" s="17"/>
      <c r="D9" s="17"/>
      <c r="E9" s="17"/>
      <c r="F9" s="17"/>
      <c r="G9" s="17"/>
      <c r="H9" s="17"/>
      <c r="I9" s="17">
        <v>-5.4466230936818013E-3</v>
      </c>
      <c r="J9" s="17"/>
      <c r="K9" s="17"/>
      <c r="L9" s="17">
        <v>-5.4466230936818013E-3</v>
      </c>
    </row>
    <row r="10" spans="1:12" x14ac:dyDescent="0.25">
      <c r="A10" s="2">
        <v>3</v>
      </c>
      <c r="B10" s="17"/>
      <c r="C10" s="17"/>
      <c r="D10" s="17"/>
      <c r="E10" s="17"/>
      <c r="F10" s="17">
        <v>-2.8189910979228544E-2</v>
      </c>
      <c r="G10" s="17"/>
      <c r="H10" s="17">
        <v>-3.8171280853902603E-2</v>
      </c>
      <c r="I10" s="17"/>
      <c r="J10" s="17"/>
      <c r="K10" s="17"/>
      <c r="L10" s="17">
        <v>-3.3180595916565574E-2</v>
      </c>
    </row>
    <row r="11" spans="1:12" x14ac:dyDescent="0.25">
      <c r="A11" s="16">
        <v>46010</v>
      </c>
      <c r="B11" s="17"/>
      <c r="C11" s="17"/>
      <c r="D11" s="17"/>
      <c r="E11" s="17"/>
      <c r="F11" s="17">
        <v>-2.8189910979228544E-2</v>
      </c>
      <c r="G11" s="17"/>
      <c r="H11" s="17"/>
      <c r="I11" s="17"/>
      <c r="J11" s="17"/>
      <c r="K11" s="17"/>
      <c r="L11" s="17">
        <v>-2.8189910979228544E-2</v>
      </c>
    </row>
    <row r="12" spans="1:12" x14ac:dyDescent="0.25">
      <c r="A12" s="16">
        <v>46024</v>
      </c>
      <c r="B12" s="17"/>
      <c r="C12" s="17"/>
      <c r="D12" s="17"/>
      <c r="E12" s="17"/>
      <c r="F12" s="17"/>
      <c r="G12" s="17"/>
      <c r="H12" s="17">
        <v>-3.8171280853902603E-2</v>
      </c>
      <c r="I12" s="17"/>
      <c r="J12" s="17"/>
      <c r="K12" s="17"/>
      <c r="L12" s="17">
        <v>-3.8171280853902603E-2</v>
      </c>
    </row>
    <row r="13" spans="1:12" x14ac:dyDescent="0.25">
      <c r="A13" s="2">
        <v>8</v>
      </c>
      <c r="B13" s="17"/>
      <c r="C13" s="17"/>
      <c r="D13" s="17"/>
      <c r="E13" s="17"/>
      <c r="F13" s="17"/>
      <c r="G13" s="17">
        <v>-4.4097222222222211E-2</v>
      </c>
      <c r="H13" s="17"/>
      <c r="I13" s="17"/>
      <c r="J13" s="17"/>
      <c r="K13" s="17"/>
      <c r="L13" s="17">
        <v>-4.4097222222222211E-2</v>
      </c>
    </row>
    <row r="14" spans="1:12" x14ac:dyDescent="0.25">
      <c r="A14" s="16">
        <v>46014</v>
      </c>
      <c r="B14" s="17"/>
      <c r="C14" s="17"/>
      <c r="D14" s="17"/>
      <c r="E14" s="17"/>
      <c r="F14" s="17"/>
      <c r="G14" s="17">
        <v>-4.4097222222222211E-2</v>
      </c>
      <c r="H14" s="17"/>
      <c r="I14" s="17"/>
      <c r="J14" s="17"/>
      <c r="K14" s="17"/>
      <c r="L14" s="17">
        <v>-4.4097222222222211E-2</v>
      </c>
    </row>
    <row r="15" spans="1:12" x14ac:dyDescent="0.25">
      <c r="A15" s="2">
        <v>10</v>
      </c>
      <c r="B15" s="17">
        <v>-2.2004889975550009E-2</v>
      </c>
      <c r="C15" s="17"/>
      <c r="D15" s="17"/>
      <c r="E15" s="17"/>
      <c r="F15" s="17"/>
      <c r="G15" s="17"/>
      <c r="H15" s="17"/>
      <c r="I15" s="17"/>
      <c r="J15" s="17"/>
      <c r="K15" s="17"/>
      <c r="L15" s="17">
        <v>-2.2004889975550009E-2</v>
      </c>
    </row>
    <row r="16" spans="1:12" x14ac:dyDescent="0.25">
      <c r="A16" s="16">
        <v>45989</v>
      </c>
      <c r="B16" s="17">
        <v>-2.2004889975550009E-2</v>
      </c>
      <c r="C16" s="17"/>
      <c r="D16" s="17"/>
      <c r="E16" s="17"/>
      <c r="F16" s="17"/>
      <c r="G16" s="17"/>
      <c r="H16" s="17"/>
      <c r="I16" s="17"/>
      <c r="J16" s="17"/>
      <c r="K16" s="17"/>
      <c r="L16" s="17">
        <v>-2.2004889975550009E-2</v>
      </c>
    </row>
    <row r="17" spans="1:12" x14ac:dyDescent="0.25">
      <c r="A17" s="2">
        <v>16</v>
      </c>
      <c r="B17" s="17"/>
      <c r="C17" s="17"/>
      <c r="D17" s="17">
        <v>-6.4247921390778492E-2</v>
      </c>
      <c r="E17" s="17"/>
      <c r="F17" s="17"/>
      <c r="G17" s="17"/>
      <c r="H17" s="17"/>
      <c r="I17" s="17"/>
      <c r="J17" s="17"/>
      <c r="K17" s="17"/>
      <c r="L17" s="17">
        <v>-6.4247921390778492E-2</v>
      </c>
    </row>
    <row r="18" spans="1:12" x14ac:dyDescent="0.25">
      <c r="A18" s="16">
        <v>46001</v>
      </c>
      <c r="B18" s="17"/>
      <c r="C18" s="17"/>
      <c r="D18" s="17">
        <v>-6.4247921390778492E-2</v>
      </c>
      <c r="E18" s="17"/>
      <c r="F18" s="17"/>
      <c r="G18" s="17"/>
      <c r="H18" s="17"/>
      <c r="I18" s="17"/>
      <c r="J18" s="17"/>
      <c r="K18" s="17"/>
      <c r="L18" s="17">
        <v>-6.4247921390778492E-2</v>
      </c>
    </row>
    <row r="19" spans="1:12" x14ac:dyDescent="0.25">
      <c r="A19" s="2">
        <v>20</v>
      </c>
      <c r="B19" s="17"/>
      <c r="C19" s="17">
        <v>-6.9069069069069122E-2</v>
      </c>
      <c r="D19" s="17"/>
      <c r="E19" s="17"/>
      <c r="F19" s="17"/>
      <c r="G19" s="17"/>
      <c r="H19" s="17"/>
      <c r="I19" s="17"/>
      <c r="J19" s="17"/>
      <c r="K19" s="17"/>
      <c r="L19" s="17">
        <v>-6.9069069069069122E-2</v>
      </c>
    </row>
    <row r="20" spans="1:12" x14ac:dyDescent="0.25">
      <c r="A20" s="16">
        <v>45999</v>
      </c>
      <c r="B20" s="17"/>
      <c r="C20" s="17">
        <v>-6.9069069069069122E-2</v>
      </c>
      <c r="D20" s="17"/>
      <c r="E20" s="17"/>
      <c r="F20" s="17"/>
      <c r="G20" s="17"/>
      <c r="H20" s="17"/>
      <c r="I20" s="17"/>
      <c r="J20" s="17"/>
      <c r="K20" s="17"/>
      <c r="L20" s="17">
        <v>-6.9069069069069122E-2</v>
      </c>
    </row>
    <row r="21" spans="1:12" x14ac:dyDescent="0.25">
      <c r="A21" s="2">
        <v>22</v>
      </c>
      <c r="B21" s="17"/>
      <c r="C21" s="17"/>
      <c r="D21" s="17"/>
      <c r="E21" s="17">
        <v>-5.6808915466159182E-2</v>
      </c>
      <c r="F21" s="17"/>
      <c r="G21" s="17"/>
      <c r="H21" s="17"/>
      <c r="I21" s="17"/>
      <c r="J21" s="17"/>
      <c r="K21" s="17"/>
      <c r="L21" s="17">
        <v>-5.6808915466159182E-2</v>
      </c>
    </row>
    <row r="22" spans="1:12" x14ac:dyDescent="0.25">
      <c r="A22" s="16">
        <v>46007</v>
      </c>
      <c r="B22" s="17"/>
      <c r="C22" s="17"/>
      <c r="D22" s="17"/>
      <c r="E22" s="17">
        <v>-5.6808915466159182E-2</v>
      </c>
      <c r="F22" s="17"/>
      <c r="G22" s="17"/>
      <c r="H22" s="17"/>
      <c r="I22" s="17"/>
      <c r="J22" s="17"/>
      <c r="K22" s="17"/>
      <c r="L22" s="17">
        <v>-5.6808915466159182E-2</v>
      </c>
    </row>
    <row r="23" spans="1:12" x14ac:dyDescent="0.25">
      <c r="A23" s="2" t="s">
        <v>59</v>
      </c>
      <c r="B23" s="17">
        <v>-2.2004889975550009E-2</v>
      </c>
      <c r="C23" s="17">
        <v>-6.9069069069069122E-2</v>
      </c>
      <c r="D23" s="17">
        <v>-6.4247921390778492E-2</v>
      </c>
      <c r="E23" s="17">
        <v>-5.6808915466159182E-2</v>
      </c>
      <c r="F23" s="17">
        <v>-2.8189910979228544E-2</v>
      </c>
      <c r="G23" s="17">
        <v>-4.4097222222222211E-2</v>
      </c>
      <c r="H23" s="17">
        <v>-3.8171280853902603E-2</v>
      </c>
      <c r="I23" s="17">
        <v>-5.4466230936818013E-3</v>
      </c>
      <c r="J23" s="17">
        <v>-1.5957446808510457E-2</v>
      </c>
      <c r="K23" s="17">
        <v>-3.875968992248117E-3</v>
      </c>
      <c r="L23" s="17">
        <v>-3.4786924885135052E-2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B121-3FD7-40ED-B567-3B1ADE57B69C}">
  <sheetPr>
    <tabColor theme="5" tint="0.59999389629810485"/>
  </sheetPr>
  <dimension ref="A1:I40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17.5703125" bestFit="1" customWidth="1"/>
    <col min="2" max="2" width="22.85546875" bestFit="1" customWidth="1"/>
    <col min="3" max="3" width="19.42578125" bestFit="1" customWidth="1"/>
    <col min="4" max="4" width="20.140625" bestFit="1" customWidth="1"/>
    <col min="5" max="5" width="20.28515625" bestFit="1" customWidth="1"/>
    <col min="6" max="6" width="22.5703125" bestFit="1" customWidth="1"/>
    <col min="7" max="7" width="19.85546875" bestFit="1" customWidth="1"/>
    <col min="8" max="8" width="24" bestFit="1" customWidth="1"/>
    <col min="9" max="9" width="22.28515625" bestFit="1" customWidth="1"/>
    <col min="10" max="10" width="22.5703125" bestFit="1" customWidth="1"/>
  </cols>
  <sheetData>
    <row r="1" spans="1:9" x14ac:dyDescent="0.25">
      <c r="A1" t="s">
        <v>0</v>
      </c>
      <c r="B1" t="s">
        <v>95</v>
      </c>
    </row>
    <row r="3" spans="1:9" x14ac:dyDescent="0.25">
      <c r="A3" t="s">
        <v>4</v>
      </c>
      <c r="B3" t="s">
        <v>122</v>
      </c>
      <c r="C3" s="1" t="s">
        <v>5</v>
      </c>
      <c r="D3" t="s">
        <v>123</v>
      </c>
      <c r="E3" t="s">
        <v>124</v>
      </c>
      <c r="F3" t="s">
        <v>96</v>
      </c>
      <c r="G3" t="s">
        <v>125</v>
      </c>
      <c r="H3" t="s">
        <v>126</v>
      </c>
      <c r="I3" t="s">
        <v>111</v>
      </c>
    </row>
    <row r="4" spans="1:9" x14ac:dyDescent="0.25">
      <c r="A4" s="2" t="s">
        <v>109</v>
      </c>
      <c r="B4" s="18">
        <v>46001</v>
      </c>
      <c r="C4">
        <v>1585.5</v>
      </c>
      <c r="D4" s="10">
        <v>33</v>
      </c>
      <c r="E4" s="3">
        <v>326</v>
      </c>
      <c r="F4" s="19">
        <v>0.20561337117628509</v>
      </c>
      <c r="G4" s="20" t="e">
        <v>#DIV/0!</v>
      </c>
      <c r="H4" s="3" t="e">
        <v>#DIV/0!</v>
      </c>
      <c r="I4" s="21" t="e">
        <v>#DIV/0!</v>
      </c>
    </row>
    <row r="5" spans="1:9" x14ac:dyDescent="0.25">
      <c r="A5" s="2" t="s">
        <v>110</v>
      </c>
      <c r="B5" s="18">
        <v>46027</v>
      </c>
      <c r="C5">
        <v>976.32</v>
      </c>
      <c r="D5" s="10">
        <v>9</v>
      </c>
      <c r="E5" s="3">
        <v>64.439999999999969</v>
      </c>
      <c r="F5" s="19">
        <v>6.6002949852507334E-2</v>
      </c>
      <c r="G5" s="20" t="e">
        <v>#DIV/0!</v>
      </c>
      <c r="H5" s="3" t="e">
        <v>#DIV/0!</v>
      </c>
      <c r="I5" s="21" t="e">
        <v>#DIV/0!</v>
      </c>
    </row>
    <row r="6" spans="1:9" x14ac:dyDescent="0.25">
      <c r="A6" s="2" t="s">
        <v>127</v>
      </c>
      <c r="B6" s="18">
        <v>45996</v>
      </c>
      <c r="C6">
        <v>984.59999999999991</v>
      </c>
      <c r="D6" s="10">
        <v>39</v>
      </c>
      <c r="E6" s="3">
        <v>115.40000000000006</v>
      </c>
      <c r="F6" s="19">
        <v>0.1172049563274427</v>
      </c>
      <c r="G6" s="20" t="e">
        <v>#DIV/0!</v>
      </c>
      <c r="H6" s="3" t="e">
        <v>#DIV/0!</v>
      </c>
      <c r="I6" s="21" t="e">
        <v>#DIV/0!</v>
      </c>
    </row>
    <row r="7" spans="1:9" x14ac:dyDescent="0.25">
      <c r="A7" s="2" t="s">
        <v>128</v>
      </c>
      <c r="B7" s="18">
        <v>45996</v>
      </c>
      <c r="C7">
        <v>987.83999999999992</v>
      </c>
      <c r="D7" s="10">
        <v>40</v>
      </c>
      <c r="E7" s="3">
        <v>213</v>
      </c>
      <c r="F7" s="19">
        <v>0.21562196307094267</v>
      </c>
      <c r="G7" s="20" t="e">
        <v>#DIV/0!</v>
      </c>
      <c r="H7" s="3" t="e">
        <v>#DIV/0!</v>
      </c>
      <c r="I7" s="21" t="e">
        <v>#DIV/0!</v>
      </c>
    </row>
    <row r="8" spans="1:9" x14ac:dyDescent="0.25">
      <c r="A8" s="2" t="s">
        <v>100</v>
      </c>
      <c r="B8" s="18">
        <v>45980</v>
      </c>
      <c r="C8">
        <v>999.99599999999998</v>
      </c>
      <c r="D8" s="10">
        <v>34</v>
      </c>
      <c r="E8" s="3">
        <v>115.26899999999998</v>
      </c>
      <c r="F8" s="19">
        <v>0.11526946107784429</v>
      </c>
      <c r="G8" s="20" t="e">
        <v>#DIV/0!</v>
      </c>
      <c r="H8" s="3" t="e">
        <v>#DIV/0!</v>
      </c>
      <c r="I8" s="21" t="e">
        <v>#DIV/0!</v>
      </c>
    </row>
    <row r="9" spans="1:9" x14ac:dyDescent="0.25">
      <c r="A9" s="2" t="s">
        <v>129</v>
      </c>
      <c r="B9" s="18">
        <v>46022</v>
      </c>
      <c r="C9">
        <v>909.5</v>
      </c>
      <c r="D9" s="10">
        <v>12</v>
      </c>
      <c r="E9" s="3">
        <v>180.70000000000005</v>
      </c>
      <c r="F9" s="19">
        <v>0.19868059373282029</v>
      </c>
      <c r="G9" s="20" t="e">
        <v>#DIV/0!</v>
      </c>
      <c r="H9" s="3" t="e">
        <v>#DIV/0!</v>
      </c>
      <c r="I9" s="21" t="e">
        <v>#DIV/0!</v>
      </c>
    </row>
    <row r="10" spans="1:9" x14ac:dyDescent="0.25">
      <c r="A10" s="2" t="s">
        <v>103</v>
      </c>
      <c r="B10" s="18">
        <v>46021</v>
      </c>
      <c r="C10">
        <v>1028.5</v>
      </c>
      <c r="D10" s="10">
        <v>9</v>
      </c>
      <c r="E10" s="3">
        <v>181.5</v>
      </c>
      <c r="F10" s="19">
        <v>0.17647058823529413</v>
      </c>
      <c r="G10" s="20" t="e">
        <v>#DIV/0!</v>
      </c>
      <c r="H10" s="3" t="e">
        <v>#DIV/0!</v>
      </c>
      <c r="I10" s="21" t="e">
        <v>#DIV/0!</v>
      </c>
    </row>
    <row r="11" spans="1:9" x14ac:dyDescent="0.25">
      <c r="A11" s="2" t="s">
        <v>101</v>
      </c>
      <c r="B11" s="18">
        <v>45980</v>
      </c>
      <c r="C11">
        <v>988.39999999999986</v>
      </c>
      <c r="D11" s="10">
        <v>33</v>
      </c>
      <c r="E11" s="3">
        <v>132.72000000000006</v>
      </c>
      <c r="F11" s="19">
        <v>0.13427762039660063</v>
      </c>
      <c r="G11" s="20" t="e">
        <v>#DIV/0!</v>
      </c>
      <c r="H11" s="3" t="e">
        <v>#DIV/0!</v>
      </c>
      <c r="I11" s="21" t="e">
        <v>#DIV/0!</v>
      </c>
    </row>
    <row r="12" spans="1:9" x14ac:dyDescent="0.25">
      <c r="A12" s="2" t="s">
        <v>104</v>
      </c>
      <c r="B12" s="18">
        <v>46001</v>
      </c>
      <c r="C12">
        <v>1007.7600000000001</v>
      </c>
      <c r="D12" s="10">
        <v>29</v>
      </c>
      <c r="E12" s="3">
        <v>199.41</v>
      </c>
      <c r="F12" s="19">
        <v>0.19787449392712547</v>
      </c>
      <c r="G12" s="20" t="e">
        <v>#DIV/0!</v>
      </c>
      <c r="H12" s="3" t="e">
        <v>#DIV/0!</v>
      </c>
      <c r="I12" s="21" t="e">
        <v>#DIV/0!</v>
      </c>
    </row>
    <row r="13" spans="1:9" x14ac:dyDescent="0.25">
      <c r="A13" s="2" t="s">
        <v>113</v>
      </c>
      <c r="B13" s="18">
        <v>45979</v>
      </c>
      <c r="C13">
        <v>994.33800000000008</v>
      </c>
      <c r="D13" s="10" t="e">
        <v>#DIV/0!</v>
      </c>
      <c r="E13" s="3">
        <v>0</v>
      </c>
      <c r="F13" s="19" t="e">
        <v>#DIV/0!</v>
      </c>
      <c r="G13" s="20">
        <v>20</v>
      </c>
      <c r="H13" s="3">
        <v>-68.678000000000054</v>
      </c>
      <c r="I13" s="22">
        <v>-6.9069069069069122E-2</v>
      </c>
    </row>
    <row r="14" spans="1:9" x14ac:dyDescent="0.25">
      <c r="A14" s="2" t="s">
        <v>130</v>
      </c>
      <c r="B14" s="18">
        <v>46033</v>
      </c>
      <c r="C14">
        <v>955.52</v>
      </c>
      <c r="D14" s="10" t="e">
        <v>#DIV/0!</v>
      </c>
      <c r="E14" s="3">
        <v>0</v>
      </c>
      <c r="F14" s="19" t="e">
        <v>#DIV/0!</v>
      </c>
      <c r="G14" s="20">
        <v>1</v>
      </c>
      <c r="H14" s="3">
        <v>-7.465000000000007</v>
      </c>
      <c r="I14" s="21">
        <v>-7.8125000000000069E-3</v>
      </c>
    </row>
    <row r="15" spans="1:9" x14ac:dyDescent="0.25">
      <c r="A15" s="2" t="s">
        <v>131</v>
      </c>
      <c r="B15" s="18">
        <v>46034</v>
      </c>
      <c r="C15">
        <v>946.56200000000001</v>
      </c>
      <c r="D15" s="10" t="e">
        <v>#DIV/0!</v>
      </c>
      <c r="E15" s="3">
        <v>0</v>
      </c>
      <c r="F15" s="19" t="e">
        <v>#DIV/0!</v>
      </c>
      <c r="G15" s="20">
        <v>1</v>
      </c>
      <c r="H15" s="3">
        <v>-32.846000000000032</v>
      </c>
      <c r="I15" s="21">
        <v>-3.4700315457413283E-2</v>
      </c>
    </row>
    <row r="16" spans="1:9" x14ac:dyDescent="0.25">
      <c r="A16" s="2" t="s">
        <v>118</v>
      </c>
      <c r="B16" s="18">
        <v>46021</v>
      </c>
      <c r="C16">
        <v>959.36</v>
      </c>
      <c r="D16" s="10" t="e">
        <v>#DIV/0!</v>
      </c>
      <c r="E16" s="3">
        <v>0</v>
      </c>
      <c r="F16" s="19" t="e">
        <v>#DIV/0!</v>
      </c>
      <c r="G16" s="20">
        <v>3</v>
      </c>
      <c r="H16" s="3">
        <v>-36.620000000000005</v>
      </c>
      <c r="I16" s="22">
        <v>-3.8171280853902603E-2</v>
      </c>
    </row>
    <row r="17" spans="1:9" x14ac:dyDescent="0.25">
      <c r="A17" s="2" t="s">
        <v>132</v>
      </c>
      <c r="B17" s="18">
        <v>46034</v>
      </c>
      <c r="C17">
        <v>924</v>
      </c>
      <c r="D17" s="10" t="e">
        <v>#DIV/0!</v>
      </c>
      <c r="E17" s="3">
        <v>0</v>
      </c>
      <c r="F17" s="19" t="e">
        <v>#DIV/0!</v>
      </c>
      <c r="G17" s="20">
        <v>4</v>
      </c>
      <c r="H17" s="3">
        <v>-29.559999999999945</v>
      </c>
      <c r="I17" s="21">
        <v>-3.1991341991341932E-2</v>
      </c>
    </row>
    <row r="18" spans="1:9" x14ac:dyDescent="0.25">
      <c r="A18" s="2" t="s">
        <v>119</v>
      </c>
      <c r="B18" s="18">
        <v>46032</v>
      </c>
      <c r="C18">
        <v>1978.56</v>
      </c>
      <c r="D18" s="10" t="e">
        <v>#DIV/0!</v>
      </c>
      <c r="E18" s="3">
        <v>0</v>
      </c>
      <c r="F18" s="19" t="e">
        <v>#DIV/0!</v>
      </c>
      <c r="G18" s="20">
        <v>1</v>
      </c>
      <c r="H18" s="3">
        <v>-4.3200000000000038</v>
      </c>
      <c r="I18" s="22">
        <v>-4.3644494024208313E-3</v>
      </c>
    </row>
    <row r="19" spans="1:9" x14ac:dyDescent="0.25">
      <c r="A19" s="2" t="s">
        <v>133</v>
      </c>
      <c r="B19" s="18">
        <v>46030</v>
      </c>
      <c r="C19">
        <v>1024.5300119999999</v>
      </c>
      <c r="D19" s="10" t="e">
        <v>#DIV/0!</v>
      </c>
      <c r="E19" s="3">
        <v>0</v>
      </c>
      <c r="F19" s="19" t="e">
        <v>#DIV/0!</v>
      </c>
      <c r="G19" s="20">
        <v>5</v>
      </c>
      <c r="H19" s="3">
        <v>-27.270012000000055</v>
      </c>
      <c r="I19" s="21">
        <v>-2.6617094356041232E-2</v>
      </c>
    </row>
    <row r="20" spans="1:9" x14ac:dyDescent="0.25">
      <c r="A20" s="2" t="s">
        <v>116</v>
      </c>
      <c r="B20" s="18">
        <v>46007</v>
      </c>
      <c r="C20">
        <v>997.52</v>
      </c>
      <c r="D20" s="10" t="e">
        <v>#DIV/0!</v>
      </c>
      <c r="E20" s="3">
        <v>0</v>
      </c>
      <c r="F20" s="19" t="e">
        <v>#DIV/0!</v>
      </c>
      <c r="G20" s="20">
        <v>3</v>
      </c>
      <c r="H20" s="3">
        <v>-28.120000000000058</v>
      </c>
      <c r="I20" s="22">
        <v>-2.8189910979228544E-2</v>
      </c>
    </row>
    <row r="21" spans="1:9" x14ac:dyDescent="0.25">
      <c r="A21" s="2" t="s">
        <v>117</v>
      </c>
      <c r="B21" s="18">
        <v>46006</v>
      </c>
      <c r="C21">
        <v>1036.8</v>
      </c>
      <c r="D21" s="10" t="e">
        <v>#DIV/0!</v>
      </c>
      <c r="E21" s="3">
        <v>0</v>
      </c>
      <c r="F21" s="19" t="e">
        <v>#DIV/0!</v>
      </c>
      <c r="G21" s="20">
        <v>8</v>
      </c>
      <c r="H21" s="3">
        <v>-45.719999999999985</v>
      </c>
      <c r="I21" s="22">
        <v>-4.4097222222222211E-2</v>
      </c>
    </row>
    <row r="22" spans="1:9" x14ac:dyDescent="0.25">
      <c r="A22" s="2" t="s">
        <v>102</v>
      </c>
      <c r="B22" s="18">
        <v>45989</v>
      </c>
      <c r="C22">
        <v>954.80000000000007</v>
      </c>
      <c r="D22" s="10">
        <v>26</v>
      </c>
      <c r="E22" s="3">
        <v>249.19999999999996</v>
      </c>
      <c r="F22" s="19">
        <v>0.26099706744868029</v>
      </c>
      <c r="G22" s="20" t="e">
        <v>#DIV/0!</v>
      </c>
      <c r="H22" s="3" t="e">
        <v>#DIV/0!</v>
      </c>
      <c r="I22" s="21" t="e">
        <v>#DIV/0!</v>
      </c>
    </row>
    <row r="23" spans="1:9" x14ac:dyDescent="0.25">
      <c r="A23" s="2" t="s">
        <v>105</v>
      </c>
      <c r="B23" s="18">
        <v>46027</v>
      </c>
      <c r="C23">
        <v>974.35</v>
      </c>
      <c r="D23" s="10">
        <v>4</v>
      </c>
      <c r="E23" s="3">
        <v>68.599999999999994</v>
      </c>
      <c r="F23" s="19">
        <v>7.0405911633396615E-2</v>
      </c>
      <c r="G23" s="20" t="e">
        <v>#DIV/0!</v>
      </c>
      <c r="H23" s="3" t="e">
        <v>#DIV/0!</v>
      </c>
      <c r="I23" s="21" t="e">
        <v>#DIV/0!</v>
      </c>
    </row>
    <row r="24" spans="1:9" x14ac:dyDescent="0.25">
      <c r="A24" s="2" t="s">
        <v>106</v>
      </c>
      <c r="B24" s="18">
        <v>45987</v>
      </c>
      <c r="C24">
        <v>1040.98</v>
      </c>
      <c r="D24" s="10">
        <v>43</v>
      </c>
      <c r="E24" s="3">
        <v>339.02000000000004</v>
      </c>
      <c r="F24" s="19">
        <v>0.32567388422448079</v>
      </c>
      <c r="G24" s="20" t="e">
        <v>#DIV/0!</v>
      </c>
      <c r="H24" s="3" t="e">
        <v>#DIV/0!</v>
      </c>
      <c r="I24" s="21" t="e">
        <v>#DIV/0!</v>
      </c>
    </row>
    <row r="25" spans="1:9" x14ac:dyDescent="0.25">
      <c r="A25" s="2" t="s">
        <v>120</v>
      </c>
      <c r="B25" s="18">
        <v>46027</v>
      </c>
      <c r="C25">
        <v>996.02399999999989</v>
      </c>
      <c r="D25" s="10" t="e">
        <v>#DIV/0!</v>
      </c>
      <c r="E25" s="3">
        <v>0</v>
      </c>
      <c r="F25" s="19" t="e">
        <v>#DIV/0!</v>
      </c>
      <c r="G25" s="20">
        <v>0</v>
      </c>
      <c r="H25" s="3">
        <v>-15.893999999999817</v>
      </c>
      <c r="I25" s="22">
        <v>-1.5957446808510457E-2</v>
      </c>
    </row>
    <row r="26" spans="1:9" x14ac:dyDescent="0.25">
      <c r="A26" s="2" t="s">
        <v>134</v>
      </c>
      <c r="B26" s="18">
        <v>46027</v>
      </c>
      <c r="C26">
        <v>999.18</v>
      </c>
      <c r="D26" s="10" t="e">
        <v>#DIV/0!</v>
      </c>
      <c r="E26" s="3">
        <v>0</v>
      </c>
      <c r="F26" s="19" t="e">
        <v>#DIV/0!</v>
      </c>
      <c r="G26" s="20">
        <v>10</v>
      </c>
      <c r="H26" s="3">
        <v>-23.309999999999953</v>
      </c>
      <c r="I26" s="21">
        <v>-2.3329129886506889E-2</v>
      </c>
    </row>
    <row r="27" spans="1:9" x14ac:dyDescent="0.25">
      <c r="A27" s="2" t="s">
        <v>135</v>
      </c>
      <c r="B27" s="18">
        <v>46029</v>
      </c>
      <c r="C27">
        <v>1289.98</v>
      </c>
      <c r="D27" s="10" t="e">
        <v>#DIV/0!</v>
      </c>
      <c r="E27" s="3">
        <v>0</v>
      </c>
      <c r="F27" s="19" t="e">
        <v>#DIV/0!</v>
      </c>
      <c r="G27" s="20">
        <v>7</v>
      </c>
      <c r="H27" s="3">
        <v>-50.039999999999964</v>
      </c>
      <c r="I27" s="21">
        <v>-3.8791299089908339E-2</v>
      </c>
    </row>
    <row r="28" spans="1:9" x14ac:dyDescent="0.25">
      <c r="A28" s="2" t="s">
        <v>114</v>
      </c>
      <c r="B28" s="18">
        <v>45985</v>
      </c>
      <c r="C28">
        <v>1005.48</v>
      </c>
      <c r="D28" s="10" t="e">
        <v>#DIV/0!</v>
      </c>
      <c r="E28" s="3">
        <v>0</v>
      </c>
      <c r="F28" s="19" t="e">
        <v>#DIV/0!</v>
      </c>
      <c r="G28" s="20">
        <v>16</v>
      </c>
      <c r="H28" s="3">
        <v>-64.599999999999966</v>
      </c>
      <c r="I28" s="22">
        <v>-6.4247921390778492E-2</v>
      </c>
    </row>
    <row r="29" spans="1:9" x14ac:dyDescent="0.25">
      <c r="A29" s="2" t="s">
        <v>121</v>
      </c>
      <c r="B29" s="18">
        <v>46027</v>
      </c>
      <c r="C29">
        <v>980.4</v>
      </c>
      <c r="D29" s="10" t="e">
        <v>#DIV/0!</v>
      </c>
      <c r="E29" s="3">
        <v>0</v>
      </c>
      <c r="F29" s="19" t="e">
        <v>#DIV/0!</v>
      </c>
      <c r="G29" s="20">
        <v>0</v>
      </c>
      <c r="H29" s="3">
        <v>-3.800000000000054</v>
      </c>
      <c r="I29" s="22">
        <v>-3.875968992248117E-3</v>
      </c>
    </row>
    <row r="30" spans="1:9" x14ac:dyDescent="0.25">
      <c r="A30" s="2" t="s">
        <v>136</v>
      </c>
      <c r="B30" s="18">
        <v>46034</v>
      </c>
      <c r="C30">
        <v>970.52</v>
      </c>
      <c r="D30" s="10" t="e">
        <v>#DIV/0!</v>
      </c>
      <c r="E30" s="3">
        <v>0</v>
      </c>
      <c r="F30" s="19" t="e">
        <v>#DIV/0!</v>
      </c>
      <c r="G30" s="20">
        <v>1</v>
      </c>
      <c r="H30" s="3">
        <v>-14.439999999999962</v>
      </c>
      <c r="I30" s="21">
        <v>-1.4878621769772867E-2</v>
      </c>
    </row>
    <row r="31" spans="1:9" x14ac:dyDescent="0.25">
      <c r="A31" s="2" t="s">
        <v>112</v>
      </c>
      <c r="B31" s="18">
        <v>45979</v>
      </c>
      <c r="C31">
        <v>930.06599999999992</v>
      </c>
      <c r="D31" s="10" t="e">
        <v>#DIV/0!</v>
      </c>
      <c r="E31" s="3">
        <v>0</v>
      </c>
      <c r="F31" s="19" t="e">
        <v>#DIV/0!</v>
      </c>
      <c r="G31" s="20">
        <v>10</v>
      </c>
      <c r="H31" s="3">
        <v>-20.465999999999891</v>
      </c>
      <c r="I31" s="22">
        <v>-2.2004889975550009E-2</v>
      </c>
    </row>
    <row r="32" spans="1:9" x14ac:dyDescent="0.25">
      <c r="A32" s="2" t="s">
        <v>98</v>
      </c>
      <c r="B32" s="18">
        <v>45985</v>
      </c>
      <c r="C32">
        <v>967.02</v>
      </c>
      <c r="D32" s="10">
        <v>16</v>
      </c>
      <c r="E32" s="3">
        <v>173.10000000000014</v>
      </c>
      <c r="F32" s="19">
        <v>0.17900353663833235</v>
      </c>
      <c r="G32" s="20" t="e">
        <v>#DIV/0!</v>
      </c>
      <c r="H32" s="3" t="e">
        <v>#DIV/0!</v>
      </c>
      <c r="I32" s="21" t="e">
        <v>#DIV/0!</v>
      </c>
    </row>
    <row r="33" spans="1:9" x14ac:dyDescent="0.25">
      <c r="A33" s="2" t="s">
        <v>107</v>
      </c>
      <c r="B33" s="18">
        <v>46029</v>
      </c>
      <c r="C33">
        <v>944.9</v>
      </c>
      <c r="D33" s="10">
        <v>1</v>
      </c>
      <c r="E33" s="3">
        <v>27.10000000000008</v>
      </c>
      <c r="F33" s="19">
        <v>2.8680283627897218E-2</v>
      </c>
      <c r="G33" s="20" t="e">
        <v>#DIV/0!</v>
      </c>
      <c r="H33" s="3" t="e">
        <v>#DIV/0!</v>
      </c>
      <c r="I33" s="21" t="e">
        <v>#DIV/0!</v>
      </c>
    </row>
    <row r="34" spans="1:9" x14ac:dyDescent="0.25">
      <c r="A34" s="2" t="s">
        <v>108</v>
      </c>
      <c r="B34" s="18">
        <v>45982</v>
      </c>
      <c r="C34">
        <v>1006.3919999999999</v>
      </c>
      <c r="D34" s="10">
        <v>45</v>
      </c>
      <c r="E34" s="3">
        <v>168.03600000000003</v>
      </c>
      <c r="F34" s="19">
        <v>0.1669687358405075</v>
      </c>
      <c r="G34" s="20" t="e">
        <v>#DIV/0!</v>
      </c>
      <c r="H34" s="3" t="e">
        <v>#DIV/0!</v>
      </c>
      <c r="I34" s="21" t="e">
        <v>#DIV/0!</v>
      </c>
    </row>
    <row r="35" spans="1:9" x14ac:dyDescent="0.25">
      <c r="A35" s="2" t="s">
        <v>115</v>
      </c>
      <c r="B35" s="18">
        <v>45985</v>
      </c>
      <c r="C35">
        <v>956.54</v>
      </c>
      <c r="D35" s="10" t="e">
        <v>#DIV/0!</v>
      </c>
      <c r="E35" s="3">
        <v>0</v>
      </c>
      <c r="F35" s="19" t="e">
        <v>#DIV/0!</v>
      </c>
      <c r="G35" s="20">
        <v>22</v>
      </c>
      <c r="H35" s="3">
        <v>-54.339999999999904</v>
      </c>
      <c r="I35" s="22">
        <v>-5.6808915466159182E-2</v>
      </c>
    </row>
    <row r="36" spans="1:9" x14ac:dyDescent="0.25">
      <c r="A36" s="2" t="s">
        <v>137</v>
      </c>
      <c r="B36" s="18">
        <v>46034</v>
      </c>
      <c r="C36">
        <v>884</v>
      </c>
      <c r="D36" s="10" t="e">
        <v>#DIV/0!</v>
      </c>
      <c r="E36" s="3">
        <v>0</v>
      </c>
      <c r="F36" s="19" t="e">
        <v>#DIV/0!</v>
      </c>
      <c r="G36" s="20">
        <v>2</v>
      </c>
      <c r="H36" s="3">
        <v>-5.7199999999999473</v>
      </c>
      <c r="I36" s="21">
        <v>-6.4705882352940579E-3</v>
      </c>
    </row>
    <row r="37" spans="1:9" x14ac:dyDescent="0.25">
      <c r="A37" s="2" t="s">
        <v>99</v>
      </c>
      <c r="B37" s="18">
        <v>45985</v>
      </c>
      <c r="C37">
        <v>1018.9200000000001</v>
      </c>
      <c r="D37" s="10">
        <v>22</v>
      </c>
      <c r="E37" s="3">
        <v>143.63999999999984</v>
      </c>
      <c r="F37" s="19">
        <v>0.14097279472382507</v>
      </c>
      <c r="G37" s="20" t="e">
        <v>#DIV/0!</v>
      </c>
      <c r="H37" s="3" t="e">
        <v>#DIV/0!</v>
      </c>
      <c r="I37" s="21" t="e">
        <v>#DIV/0!</v>
      </c>
    </row>
    <row r="38" spans="1:9" x14ac:dyDescent="0.25">
      <c r="A38" s="2" t="s">
        <v>138</v>
      </c>
      <c r="B38" s="18">
        <v>46030</v>
      </c>
      <c r="C38">
        <v>1057.92</v>
      </c>
      <c r="D38" s="10" t="e">
        <v>#DIV/0!</v>
      </c>
      <c r="E38" s="3">
        <v>0</v>
      </c>
      <c r="F38" s="19" t="e">
        <v>#DIV/0!</v>
      </c>
      <c r="G38" s="20">
        <v>4</v>
      </c>
      <c r="H38" s="3">
        <v>-30.419999999999959</v>
      </c>
      <c r="I38" s="21">
        <v>-2.8754537205081629E-2</v>
      </c>
    </row>
    <row r="39" spans="1:9" x14ac:dyDescent="0.25">
      <c r="A39" s="2" t="s">
        <v>139</v>
      </c>
      <c r="B39" s="18">
        <v>46034</v>
      </c>
      <c r="C39">
        <v>1046</v>
      </c>
      <c r="D39" s="10" t="e">
        <v>#DIV/0!</v>
      </c>
      <c r="E39" s="3">
        <v>0</v>
      </c>
      <c r="F39" s="19" t="e">
        <v>#DIV/0!</v>
      </c>
      <c r="G39" s="20">
        <v>4</v>
      </c>
      <c r="H39" s="3">
        <v>-30.999999999999943</v>
      </c>
      <c r="I39" s="21">
        <v>-2.9636711281070691E-2</v>
      </c>
    </row>
    <row r="40" spans="1:9" x14ac:dyDescent="0.25">
      <c r="A40" s="2" t="s">
        <v>59</v>
      </c>
      <c r="B40" s="18">
        <v>46011</v>
      </c>
      <c r="C40" s="1">
        <v>37309.078011999998</v>
      </c>
      <c r="D40" s="10">
        <v>24.6875</v>
      </c>
      <c r="E40" s="3">
        <v>2697.1350000000002</v>
      </c>
      <c r="F40" s="19">
        <v>0.16248238824587391</v>
      </c>
      <c r="G40" s="20">
        <v>5.8571428571428568</v>
      </c>
      <c r="H40" s="3">
        <v>-28.521381523809502</v>
      </c>
      <c r="I40" s="22">
        <v>-2.8292079230235304E-2</v>
      </c>
    </row>
  </sheetData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AA7B-ADCF-41C9-8354-5790D9EF781D}">
  <sheetPr>
    <tabColor theme="5" tint="0.59999389629810485"/>
  </sheetPr>
  <dimension ref="A1:I40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17.5703125" bestFit="1" customWidth="1"/>
    <col min="2" max="2" width="22.85546875" bestFit="1" customWidth="1"/>
    <col min="3" max="3" width="19.42578125" bestFit="1" customWidth="1"/>
    <col min="4" max="4" width="20.140625" bestFit="1" customWidth="1"/>
    <col min="5" max="5" width="20.28515625" bestFit="1" customWidth="1"/>
    <col min="6" max="6" width="22.5703125" bestFit="1" customWidth="1"/>
    <col min="7" max="7" width="19.85546875" bestFit="1" customWidth="1"/>
    <col min="8" max="8" width="24" bestFit="1" customWidth="1"/>
    <col min="9" max="9" width="22.28515625" bestFit="1" customWidth="1"/>
    <col min="10" max="10" width="22.5703125" bestFit="1" customWidth="1"/>
  </cols>
  <sheetData>
    <row r="1" spans="1:9" x14ac:dyDescent="0.25">
      <c r="A1" t="s">
        <v>0</v>
      </c>
      <c r="B1" t="s">
        <v>95</v>
      </c>
    </row>
    <row r="3" spans="1:9" x14ac:dyDescent="0.25">
      <c r="A3" t="s">
        <v>4</v>
      </c>
      <c r="B3" t="s">
        <v>122</v>
      </c>
      <c r="C3" s="1" t="s">
        <v>5</v>
      </c>
      <c r="D3" t="s">
        <v>123</v>
      </c>
      <c r="E3" t="s">
        <v>124</v>
      </c>
      <c r="F3" t="s">
        <v>96</v>
      </c>
      <c r="G3" t="s">
        <v>125</v>
      </c>
      <c r="H3" t="s">
        <v>126</v>
      </c>
      <c r="I3" t="s">
        <v>111</v>
      </c>
    </row>
    <row r="4" spans="1:9" x14ac:dyDescent="0.25">
      <c r="A4" s="2" t="s">
        <v>112</v>
      </c>
      <c r="B4" s="18">
        <v>45979</v>
      </c>
      <c r="C4">
        <v>930.06599999999992</v>
      </c>
      <c r="D4" s="10" t="e">
        <v>#DIV/0!</v>
      </c>
      <c r="E4" s="3">
        <v>0</v>
      </c>
      <c r="F4" s="19" t="e">
        <v>#DIV/0!</v>
      </c>
      <c r="G4" s="20">
        <v>10</v>
      </c>
      <c r="H4" s="3">
        <v>-20.465999999999891</v>
      </c>
      <c r="I4" s="22">
        <v>-2.2004889975550009E-2</v>
      </c>
    </row>
    <row r="5" spans="1:9" x14ac:dyDescent="0.25">
      <c r="A5" s="2" t="s">
        <v>113</v>
      </c>
      <c r="B5" s="18">
        <v>45979</v>
      </c>
      <c r="C5">
        <v>994.33800000000008</v>
      </c>
      <c r="D5" s="10" t="e">
        <v>#DIV/0!</v>
      </c>
      <c r="E5" s="3">
        <v>0</v>
      </c>
      <c r="F5" s="19" t="e">
        <v>#DIV/0!</v>
      </c>
      <c r="G5" s="20">
        <v>20</v>
      </c>
      <c r="H5" s="3">
        <v>-68.678000000000054</v>
      </c>
      <c r="I5" s="22">
        <v>-6.9069069069069122E-2</v>
      </c>
    </row>
    <row r="6" spans="1:9" x14ac:dyDescent="0.25">
      <c r="A6" s="2" t="s">
        <v>101</v>
      </c>
      <c r="B6" s="18">
        <v>45980</v>
      </c>
      <c r="C6">
        <v>988.39999999999986</v>
      </c>
      <c r="D6" s="10">
        <v>33</v>
      </c>
      <c r="E6" s="3">
        <v>132.72000000000006</v>
      </c>
      <c r="F6" s="19">
        <v>0.13427762039660063</v>
      </c>
      <c r="G6" s="20" t="e">
        <v>#DIV/0!</v>
      </c>
      <c r="H6" s="3" t="e">
        <v>#DIV/0!</v>
      </c>
      <c r="I6" s="21" t="e">
        <v>#DIV/0!</v>
      </c>
    </row>
    <row r="7" spans="1:9" x14ac:dyDescent="0.25">
      <c r="A7" s="2" t="s">
        <v>100</v>
      </c>
      <c r="B7" s="18">
        <v>45980</v>
      </c>
      <c r="C7">
        <v>999.99599999999998</v>
      </c>
      <c r="D7" s="10">
        <v>34</v>
      </c>
      <c r="E7" s="3">
        <v>115.26899999999998</v>
      </c>
      <c r="F7" s="19">
        <v>0.11526946107784429</v>
      </c>
      <c r="G7" s="20" t="e">
        <v>#DIV/0!</v>
      </c>
      <c r="H7" s="3" t="e">
        <v>#DIV/0!</v>
      </c>
      <c r="I7" s="21" t="e">
        <v>#DIV/0!</v>
      </c>
    </row>
    <row r="8" spans="1:9" x14ac:dyDescent="0.25">
      <c r="A8" s="2" t="s">
        <v>108</v>
      </c>
      <c r="B8" s="18">
        <v>45982</v>
      </c>
      <c r="C8">
        <v>1006.3919999999999</v>
      </c>
      <c r="D8" s="10">
        <v>45</v>
      </c>
      <c r="E8" s="3">
        <v>168.03600000000003</v>
      </c>
      <c r="F8" s="19">
        <v>0.1669687358405075</v>
      </c>
      <c r="G8" s="20" t="e">
        <v>#DIV/0!</v>
      </c>
      <c r="H8" s="3" t="e">
        <v>#DIV/0!</v>
      </c>
      <c r="I8" s="21" t="e">
        <v>#DIV/0!</v>
      </c>
    </row>
    <row r="9" spans="1:9" x14ac:dyDescent="0.25">
      <c r="A9" s="2" t="s">
        <v>114</v>
      </c>
      <c r="B9" s="18">
        <v>45985</v>
      </c>
      <c r="C9">
        <v>1005.48</v>
      </c>
      <c r="D9" s="10" t="e">
        <v>#DIV/0!</v>
      </c>
      <c r="E9" s="3">
        <v>0</v>
      </c>
      <c r="F9" s="19" t="e">
        <v>#DIV/0!</v>
      </c>
      <c r="G9" s="20">
        <v>16</v>
      </c>
      <c r="H9" s="3">
        <v>-64.599999999999966</v>
      </c>
      <c r="I9" s="22">
        <v>-6.4247921390778492E-2</v>
      </c>
    </row>
    <row r="10" spans="1:9" x14ac:dyDescent="0.25">
      <c r="A10" s="2" t="s">
        <v>115</v>
      </c>
      <c r="B10" s="18">
        <v>45985</v>
      </c>
      <c r="C10">
        <v>956.54</v>
      </c>
      <c r="D10" s="10" t="e">
        <v>#DIV/0!</v>
      </c>
      <c r="E10" s="3">
        <v>0</v>
      </c>
      <c r="F10" s="19" t="e">
        <v>#DIV/0!</v>
      </c>
      <c r="G10" s="20">
        <v>22</v>
      </c>
      <c r="H10" s="3">
        <v>-54.339999999999904</v>
      </c>
      <c r="I10" s="22">
        <v>-5.6808915466159182E-2</v>
      </c>
    </row>
    <row r="11" spans="1:9" x14ac:dyDescent="0.25">
      <c r="A11" s="2" t="s">
        <v>99</v>
      </c>
      <c r="B11" s="18">
        <v>45985</v>
      </c>
      <c r="C11">
        <v>1018.9200000000001</v>
      </c>
      <c r="D11" s="10">
        <v>22</v>
      </c>
      <c r="E11" s="3">
        <v>143.63999999999984</v>
      </c>
      <c r="F11" s="19">
        <v>0.14097279472382507</v>
      </c>
      <c r="G11" s="20" t="e">
        <v>#DIV/0!</v>
      </c>
      <c r="H11" s="3" t="e">
        <v>#DIV/0!</v>
      </c>
      <c r="I11" s="21" t="e">
        <v>#DIV/0!</v>
      </c>
    </row>
    <row r="12" spans="1:9" x14ac:dyDescent="0.25">
      <c r="A12" s="2" t="s">
        <v>98</v>
      </c>
      <c r="B12" s="18">
        <v>45985</v>
      </c>
      <c r="C12">
        <v>967.02</v>
      </c>
      <c r="D12" s="10">
        <v>16</v>
      </c>
      <c r="E12" s="3">
        <v>173.10000000000014</v>
      </c>
      <c r="F12" s="19">
        <v>0.17900353663833235</v>
      </c>
      <c r="G12" s="20" t="e">
        <v>#DIV/0!</v>
      </c>
      <c r="H12" s="3" t="e">
        <v>#DIV/0!</v>
      </c>
      <c r="I12" s="21" t="e">
        <v>#DIV/0!</v>
      </c>
    </row>
    <row r="13" spans="1:9" x14ac:dyDescent="0.25">
      <c r="A13" s="2" t="s">
        <v>106</v>
      </c>
      <c r="B13" s="18">
        <v>45987</v>
      </c>
      <c r="C13">
        <v>1040.98</v>
      </c>
      <c r="D13" s="10">
        <v>43</v>
      </c>
      <c r="E13" s="3">
        <v>339.02000000000004</v>
      </c>
      <c r="F13" s="19">
        <v>0.32567388422448079</v>
      </c>
      <c r="G13" s="20" t="e">
        <v>#DIV/0!</v>
      </c>
      <c r="H13" s="3" t="e">
        <v>#DIV/0!</v>
      </c>
      <c r="I13" s="21" t="e">
        <v>#DIV/0!</v>
      </c>
    </row>
    <row r="14" spans="1:9" x14ac:dyDescent="0.25">
      <c r="A14" s="2" t="s">
        <v>102</v>
      </c>
      <c r="B14" s="18">
        <v>45989</v>
      </c>
      <c r="C14">
        <v>954.80000000000007</v>
      </c>
      <c r="D14" s="10">
        <v>26</v>
      </c>
      <c r="E14" s="3">
        <v>249.19999999999996</v>
      </c>
      <c r="F14" s="19">
        <v>0.26099706744868029</v>
      </c>
      <c r="G14" s="20" t="e">
        <v>#DIV/0!</v>
      </c>
      <c r="H14" s="3" t="e">
        <v>#DIV/0!</v>
      </c>
      <c r="I14" s="21" t="e">
        <v>#DIV/0!</v>
      </c>
    </row>
    <row r="15" spans="1:9" x14ac:dyDescent="0.25">
      <c r="A15" s="2" t="s">
        <v>128</v>
      </c>
      <c r="B15" s="18">
        <v>45996</v>
      </c>
      <c r="C15">
        <v>987.83999999999992</v>
      </c>
      <c r="D15" s="10">
        <v>40</v>
      </c>
      <c r="E15" s="3">
        <v>213</v>
      </c>
      <c r="F15" s="19">
        <v>0.21562196307094267</v>
      </c>
      <c r="G15" s="20" t="e">
        <v>#DIV/0!</v>
      </c>
      <c r="H15" s="3" t="e">
        <v>#DIV/0!</v>
      </c>
      <c r="I15" s="21" t="e">
        <v>#DIV/0!</v>
      </c>
    </row>
    <row r="16" spans="1:9" x14ac:dyDescent="0.25">
      <c r="A16" s="2" t="s">
        <v>127</v>
      </c>
      <c r="B16" s="18">
        <v>45996</v>
      </c>
      <c r="C16">
        <v>984.59999999999991</v>
      </c>
      <c r="D16" s="10">
        <v>39</v>
      </c>
      <c r="E16" s="3">
        <v>115.40000000000006</v>
      </c>
      <c r="F16" s="19">
        <v>0.1172049563274427</v>
      </c>
      <c r="G16" s="20" t="e">
        <v>#DIV/0!</v>
      </c>
      <c r="H16" s="3" t="e">
        <v>#DIV/0!</v>
      </c>
      <c r="I16" s="21" t="e">
        <v>#DIV/0!</v>
      </c>
    </row>
    <row r="17" spans="1:9" x14ac:dyDescent="0.25">
      <c r="A17" s="2" t="s">
        <v>104</v>
      </c>
      <c r="B17" s="18">
        <v>46001</v>
      </c>
      <c r="C17">
        <v>1007.7600000000001</v>
      </c>
      <c r="D17" s="10">
        <v>29</v>
      </c>
      <c r="E17" s="3">
        <v>199.41</v>
      </c>
      <c r="F17" s="19">
        <v>0.19787449392712547</v>
      </c>
      <c r="G17" s="20" t="e">
        <v>#DIV/0!</v>
      </c>
      <c r="H17" s="3" t="e">
        <v>#DIV/0!</v>
      </c>
      <c r="I17" s="21" t="e">
        <v>#DIV/0!</v>
      </c>
    </row>
    <row r="18" spans="1:9" x14ac:dyDescent="0.25">
      <c r="A18" s="2" t="s">
        <v>109</v>
      </c>
      <c r="B18" s="18">
        <v>46001</v>
      </c>
      <c r="C18">
        <v>1585.5</v>
      </c>
      <c r="D18" s="10">
        <v>33</v>
      </c>
      <c r="E18" s="3">
        <v>326</v>
      </c>
      <c r="F18" s="19">
        <v>0.20561337117628509</v>
      </c>
      <c r="G18" s="20" t="e">
        <v>#DIV/0!</v>
      </c>
      <c r="H18" s="3" t="e">
        <v>#DIV/0!</v>
      </c>
      <c r="I18" s="21" t="e">
        <v>#DIV/0!</v>
      </c>
    </row>
    <row r="19" spans="1:9" x14ac:dyDescent="0.25">
      <c r="A19" s="2" t="s">
        <v>117</v>
      </c>
      <c r="B19" s="18">
        <v>46006</v>
      </c>
      <c r="C19">
        <v>1036.8</v>
      </c>
      <c r="D19" s="10" t="e">
        <v>#DIV/0!</v>
      </c>
      <c r="E19" s="3">
        <v>0</v>
      </c>
      <c r="F19" s="19" t="e">
        <v>#DIV/0!</v>
      </c>
      <c r="G19" s="20">
        <v>8</v>
      </c>
      <c r="H19" s="3">
        <v>-45.719999999999985</v>
      </c>
      <c r="I19" s="22">
        <v>-4.4097222222222211E-2</v>
      </c>
    </row>
    <row r="20" spans="1:9" x14ac:dyDescent="0.25">
      <c r="A20" s="2" t="s">
        <v>116</v>
      </c>
      <c r="B20" s="18">
        <v>46007</v>
      </c>
      <c r="C20">
        <v>997.52</v>
      </c>
      <c r="D20" s="10" t="e">
        <v>#DIV/0!</v>
      </c>
      <c r="E20" s="3">
        <v>0</v>
      </c>
      <c r="F20" s="19" t="e">
        <v>#DIV/0!</v>
      </c>
      <c r="G20" s="20">
        <v>3</v>
      </c>
      <c r="H20" s="3">
        <v>-28.120000000000058</v>
      </c>
      <c r="I20" s="22">
        <v>-2.8189910979228544E-2</v>
      </c>
    </row>
    <row r="21" spans="1:9" x14ac:dyDescent="0.25">
      <c r="A21" s="2" t="s">
        <v>103</v>
      </c>
      <c r="B21" s="18">
        <v>46021</v>
      </c>
      <c r="C21">
        <v>1028.5</v>
      </c>
      <c r="D21" s="10">
        <v>9</v>
      </c>
      <c r="E21" s="3">
        <v>181.5</v>
      </c>
      <c r="F21" s="19">
        <v>0.17647058823529413</v>
      </c>
      <c r="G21" s="20" t="e">
        <v>#DIV/0!</v>
      </c>
      <c r="H21" s="3" t="e">
        <v>#DIV/0!</v>
      </c>
      <c r="I21" s="21" t="e">
        <v>#DIV/0!</v>
      </c>
    </row>
    <row r="22" spans="1:9" x14ac:dyDescent="0.25">
      <c r="A22" s="2" t="s">
        <v>118</v>
      </c>
      <c r="B22" s="18">
        <v>46021</v>
      </c>
      <c r="C22">
        <v>959.36</v>
      </c>
      <c r="D22" s="10" t="e">
        <v>#DIV/0!</v>
      </c>
      <c r="E22" s="3">
        <v>0</v>
      </c>
      <c r="F22" s="19" t="e">
        <v>#DIV/0!</v>
      </c>
      <c r="G22" s="20">
        <v>3</v>
      </c>
      <c r="H22" s="3">
        <v>-36.620000000000005</v>
      </c>
      <c r="I22" s="22">
        <v>-3.8171280853902603E-2</v>
      </c>
    </row>
    <row r="23" spans="1:9" x14ac:dyDescent="0.25">
      <c r="A23" s="2" t="s">
        <v>129</v>
      </c>
      <c r="B23" s="18">
        <v>46022</v>
      </c>
      <c r="C23">
        <v>909.5</v>
      </c>
      <c r="D23" s="10">
        <v>12</v>
      </c>
      <c r="E23" s="3">
        <v>180.70000000000005</v>
      </c>
      <c r="F23" s="19">
        <v>0.19868059373282029</v>
      </c>
      <c r="G23" s="20" t="e">
        <v>#DIV/0!</v>
      </c>
      <c r="H23" s="3" t="e">
        <v>#DIV/0!</v>
      </c>
      <c r="I23" s="21" t="e">
        <v>#DIV/0!</v>
      </c>
    </row>
    <row r="24" spans="1:9" x14ac:dyDescent="0.25">
      <c r="A24" s="2" t="s">
        <v>120</v>
      </c>
      <c r="B24" s="18">
        <v>46027</v>
      </c>
      <c r="C24">
        <v>996.02399999999989</v>
      </c>
      <c r="D24" s="10" t="e">
        <v>#DIV/0!</v>
      </c>
      <c r="E24" s="3">
        <v>0</v>
      </c>
      <c r="F24" s="19" t="e">
        <v>#DIV/0!</v>
      </c>
      <c r="G24" s="20">
        <v>0</v>
      </c>
      <c r="H24" s="3">
        <v>-15.893999999999817</v>
      </c>
      <c r="I24" s="22">
        <v>-1.5957446808510457E-2</v>
      </c>
    </row>
    <row r="25" spans="1:9" x14ac:dyDescent="0.25">
      <c r="A25" s="2" t="s">
        <v>110</v>
      </c>
      <c r="B25" s="18">
        <v>46027</v>
      </c>
      <c r="C25">
        <v>976.32</v>
      </c>
      <c r="D25" s="10">
        <v>9</v>
      </c>
      <c r="E25" s="3">
        <v>64.439999999999969</v>
      </c>
      <c r="F25" s="19">
        <v>6.6002949852507334E-2</v>
      </c>
      <c r="G25" s="20" t="e">
        <v>#DIV/0!</v>
      </c>
      <c r="H25" s="3" t="e">
        <v>#DIV/0!</v>
      </c>
      <c r="I25" s="21" t="e">
        <v>#DIV/0!</v>
      </c>
    </row>
    <row r="26" spans="1:9" x14ac:dyDescent="0.25">
      <c r="A26" s="2" t="s">
        <v>105</v>
      </c>
      <c r="B26" s="18">
        <v>46027</v>
      </c>
      <c r="C26">
        <v>974.35</v>
      </c>
      <c r="D26" s="10">
        <v>4</v>
      </c>
      <c r="E26" s="3">
        <v>68.599999999999994</v>
      </c>
      <c r="F26" s="19">
        <v>7.0405911633396615E-2</v>
      </c>
      <c r="G26" s="20" t="e">
        <v>#DIV/0!</v>
      </c>
      <c r="H26" s="3" t="e">
        <v>#DIV/0!</v>
      </c>
      <c r="I26" s="21" t="e">
        <v>#DIV/0!</v>
      </c>
    </row>
    <row r="27" spans="1:9" x14ac:dyDescent="0.25">
      <c r="A27" s="2" t="s">
        <v>134</v>
      </c>
      <c r="B27" s="18">
        <v>46027</v>
      </c>
      <c r="C27">
        <v>999.18</v>
      </c>
      <c r="D27" s="10" t="e">
        <v>#DIV/0!</v>
      </c>
      <c r="E27" s="3">
        <v>0</v>
      </c>
      <c r="F27" s="19" t="e">
        <v>#DIV/0!</v>
      </c>
      <c r="G27" s="20">
        <v>10</v>
      </c>
      <c r="H27" s="3">
        <v>-23.309999999999953</v>
      </c>
      <c r="I27" s="21">
        <v>-2.3329129886506889E-2</v>
      </c>
    </row>
    <row r="28" spans="1:9" x14ac:dyDescent="0.25">
      <c r="A28" s="2" t="s">
        <v>121</v>
      </c>
      <c r="B28" s="18">
        <v>46027</v>
      </c>
      <c r="C28">
        <v>980.4</v>
      </c>
      <c r="D28" s="10" t="e">
        <v>#DIV/0!</v>
      </c>
      <c r="E28" s="3">
        <v>0</v>
      </c>
      <c r="F28" s="19" t="e">
        <v>#DIV/0!</v>
      </c>
      <c r="G28" s="20">
        <v>0</v>
      </c>
      <c r="H28" s="3">
        <v>-3.800000000000054</v>
      </c>
      <c r="I28" s="22">
        <v>-3.875968992248117E-3</v>
      </c>
    </row>
    <row r="29" spans="1:9" x14ac:dyDescent="0.25">
      <c r="A29" s="2" t="s">
        <v>107</v>
      </c>
      <c r="B29" s="18">
        <v>46029</v>
      </c>
      <c r="C29">
        <v>944.9</v>
      </c>
      <c r="D29" s="10">
        <v>1</v>
      </c>
      <c r="E29" s="3">
        <v>27.10000000000008</v>
      </c>
      <c r="F29" s="19">
        <v>2.8680283627897218E-2</v>
      </c>
      <c r="G29" s="20" t="e">
        <v>#DIV/0!</v>
      </c>
      <c r="H29" s="3" t="e">
        <v>#DIV/0!</v>
      </c>
      <c r="I29" s="21" t="e">
        <v>#DIV/0!</v>
      </c>
    </row>
    <row r="30" spans="1:9" x14ac:dyDescent="0.25">
      <c r="A30" s="2" t="s">
        <v>135</v>
      </c>
      <c r="B30" s="18">
        <v>46029</v>
      </c>
      <c r="C30">
        <v>1289.98</v>
      </c>
      <c r="D30" s="10" t="e">
        <v>#DIV/0!</v>
      </c>
      <c r="E30" s="3">
        <v>0</v>
      </c>
      <c r="F30" s="19" t="e">
        <v>#DIV/0!</v>
      </c>
      <c r="G30" s="20">
        <v>7</v>
      </c>
      <c r="H30" s="3">
        <v>-50.039999999999964</v>
      </c>
      <c r="I30" s="21">
        <v>-3.8791299089908339E-2</v>
      </c>
    </row>
    <row r="31" spans="1:9" x14ac:dyDescent="0.25">
      <c r="A31" s="2" t="s">
        <v>138</v>
      </c>
      <c r="B31" s="18">
        <v>46030</v>
      </c>
      <c r="C31">
        <v>1057.92</v>
      </c>
      <c r="D31" s="10" t="e">
        <v>#DIV/0!</v>
      </c>
      <c r="E31" s="3">
        <v>0</v>
      </c>
      <c r="F31" s="19" t="e">
        <v>#DIV/0!</v>
      </c>
      <c r="G31" s="20">
        <v>4</v>
      </c>
      <c r="H31" s="3">
        <v>-30.419999999999959</v>
      </c>
      <c r="I31" s="21">
        <v>-2.8754537205081629E-2</v>
      </c>
    </row>
    <row r="32" spans="1:9" x14ac:dyDescent="0.25">
      <c r="A32" s="2" t="s">
        <v>133</v>
      </c>
      <c r="B32" s="18">
        <v>46030</v>
      </c>
      <c r="C32">
        <v>1024.5300119999999</v>
      </c>
      <c r="D32" s="10" t="e">
        <v>#DIV/0!</v>
      </c>
      <c r="E32" s="3">
        <v>0</v>
      </c>
      <c r="F32" s="19" t="e">
        <v>#DIV/0!</v>
      </c>
      <c r="G32" s="20">
        <v>5</v>
      </c>
      <c r="H32" s="3">
        <v>-27.270012000000055</v>
      </c>
      <c r="I32" s="21">
        <v>-2.6617094356041232E-2</v>
      </c>
    </row>
    <row r="33" spans="1:9" x14ac:dyDescent="0.25">
      <c r="A33" s="2" t="s">
        <v>119</v>
      </c>
      <c r="B33" s="18">
        <v>46032</v>
      </c>
      <c r="C33">
        <v>1978.56</v>
      </c>
      <c r="D33" s="10" t="e">
        <v>#DIV/0!</v>
      </c>
      <c r="E33" s="3">
        <v>0</v>
      </c>
      <c r="F33" s="19" t="e">
        <v>#DIV/0!</v>
      </c>
      <c r="G33" s="20">
        <v>1</v>
      </c>
      <c r="H33" s="3">
        <v>-4.3200000000000038</v>
      </c>
      <c r="I33" s="22">
        <v>-4.3644494024208313E-3</v>
      </c>
    </row>
    <row r="34" spans="1:9" x14ac:dyDescent="0.25">
      <c r="A34" s="2" t="s">
        <v>130</v>
      </c>
      <c r="B34" s="18">
        <v>46033</v>
      </c>
      <c r="C34">
        <v>955.52</v>
      </c>
      <c r="D34" s="10" t="e">
        <v>#DIV/0!</v>
      </c>
      <c r="E34" s="3">
        <v>0</v>
      </c>
      <c r="F34" s="19" t="e">
        <v>#DIV/0!</v>
      </c>
      <c r="G34" s="20">
        <v>1</v>
      </c>
      <c r="H34" s="3">
        <v>-7.465000000000007</v>
      </c>
      <c r="I34" s="21">
        <v>-7.8125000000000069E-3</v>
      </c>
    </row>
    <row r="35" spans="1:9" x14ac:dyDescent="0.25">
      <c r="A35" s="2" t="s">
        <v>137</v>
      </c>
      <c r="B35" s="18">
        <v>46034</v>
      </c>
      <c r="C35">
        <v>884</v>
      </c>
      <c r="D35" s="10" t="e">
        <v>#DIV/0!</v>
      </c>
      <c r="E35" s="3">
        <v>0</v>
      </c>
      <c r="F35" s="19" t="e">
        <v>#DIV/0!</v>
      </c>
      <c r="G35" s="20">
        <v>2</v>
      </c>
      <c r="H35" s="3">
        <v>-5.7199999999999473</v>
      </c>
      <c r="I35" s="21">
        <v>-6.4705882352940579E-3</v>
      </c>
    </row>
    <row r="36" spans="1:9" x14ac:dyDescent="0.25">
      <c r="A36" s="2" t="s">
        <v>131</v>
      </c>
      <c r="B36" s="18">
        <v>46034</v>
      </c>
      <c r="C36">
        <v>946.56200000000001</v>
      </c>
      <c r="D36" s="10" t="e">
        <v>#DIV/0!</v>
      </c>
      <c r="E36" s="3">
        <v>0</v>
      </c>
      <c r="F36" s="19" t="e">
        <v>#DIV/0!</v>
      </c>
      <c r="G36" s="20">
        <v>1</v>
      </c>
      <c r="H36" s="3">
        <v>-32.846000000000032</v>
      </c>
      <c r="I36" s="21">
        <v>-3.4700315457413283E-2</v>
      </c>
    </row>
    <row r="37" spans="1:9" x14ac:dyDescent="0.25">
      <c r="A37" s="2" t="s">
        <v>139</v>
      </c>
      <c r="B37" s="18">
        <v>46034</v>
      </c>
      <c r="C37">
        <v>1046</v>
      </c>
      <c r="D37" s="10" t="e">
        <v>#DIV/0!</v>
      </c>
      <c r="E37" s="3">
        <v>0</v>
      </c>
      <c r="F37" s="19" t="e">
        <v>#DIV/0!</v>
      </c>
      <c r="G37" s="20">
        <v>4</v>
      </c>
      <c r="H37" s="3">
        <v>-30.999999999999943</v>
      </c>
      <c r="I37" s="21">
        <v>-2.9636711281070691E-2</v>
      </c>
    </row>
    <row r="38" spans="1:9" x14ac:dyDescent="0.25">
      <c r="A38" s="2" t="s">
        <v>136</v>
      </c>
      <c r="B38" s="18">
        <v>46034</v>
      </c>
      <c r="C38">
        <v>970.52</v>
      </c>
      <c r="D38" s="10" t="e">
        <v>#DIV/0!</v>
      </c>
      <c r="E38" s="3">
        <v>0</v>
      </c>
      <c r="F38" s="19" t="e">
        <v>#DIV/0!</v>
      </c>
      <c r="G38" s="20">
        <v>1</v>
      </c>
      <c r="H38" s="3">
        <v>-14.439999999999962</v>
      </c>
      <c r="I38" s="21">
        <v>-1.4878621769772867E-2</v>
      </c>
    </row>
    <row r="39" spans="1:9" x14ac:dyDescent="0.25">
      <c r="A39" s="2" t="s">
        <v>132</v>
      </c>
      <c r="B39" s="18">
        <v>46034</v>
      </c>
      <c r="C39">
        <v>924</v>
      </c>
      <c r="D39" s="10" t="e">
        <v>#DIV/0!</v>
      </c>
      <c r="E39" s="3">
        <v>0</v>
      </c>
      <c r="F39" s="19" t="e">
        <v>#DIV/0!</v>
      </c>
      <c r="G39" s="20">
        <v>4</v>
      </c>
      <c r="H39" s="3">
        <v>-29.559999999999945</v>
      </c>
      <c r="I39" s="21">
        <v>-3.1991341991341932E-2</v>
      </c>
    </row>
    <row r="40" spans="1:9" x14ac:dyDescent="0.25">
      <c r="A40" s="2" t="s">
        <v>59</v>
      </c>
      <c r="B40" s="18">
        <v>46011</v>
      </c>
      <c r="C40" s="1">
        <v>37309.078012000005</v>
      </c>
      <c r="D40" s="10">
        <v>24.6875</v>
      </c>
      <c r="E40" s="3">
        <v>2697.1350000000002</v>
      </c>
      <c r="F40" s="19">
        <v>0.16248238824587388</v>
      </c>
      <c r="G40" s="20">
        <v>5.8571428571428568</v>
      </c>
      <c r="H40" s="3">
        <v>-28.521381523809502</v>
      </c>
      <c r="I40" s="22">
        <v>-2.8292079230235304E-2</v>
      </c>
    </row>
  </sheetData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CA2D-3D9C-41A2-95FA-6510CE9E3862}">
  <sheetPr>
    <tabColor theme="5" tint="0.59999389629810485"/>
  </sheetPr>
  <dimension ref="A1:G40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17.5703125" bestFit="1" customWidth="1"/>
    <col min="2" max="2" width="19.42578125" bestFit="1" customWidth="1"/>
    <col min="3" max="3" width="15" bestFit="1" customWidth="1"/>
    <col min="4" max="5" width="20.140625" bestFit="1" customWidth="1"/>
    <col min="6" max="6" width="20.28515625" bestFit="1" customWidth="1"/>
    <col min="7" max="10" width="22.5703125" bestFit="1" customWidth="1"/>
  </cols>
  <sheetData>
    <row r="1" spans="1:7" x14ac:dyDescent="0.25">
      <c r="A1" t="s">
        <v>0</v>
      </c>
      <c r="B1" t="s">
        <v>95</v>
      </c>
    </row>
    <row r="3" spans="1:7" x14ac:dyDescent="0.25">
      <c r="A3" t="s">
        <v>4</v>
      </c>
      <c r="B3" s="1" t="s">
        <v>5</v>
      </c>
      <c r="C3" t="s">
        <v>8</v>
      </c>
      <c r="D3" t="s">
        <v>9</v>
      </c>
      <c r="E3" t="s">
        <v>123</v>
      </c>
      <c r="F3" t="s">
        <v>124</v>
      </c>
      <c r="G3" t="s">
        <v>96</v>
      </c>
    </row>
    <row r="4" spans="1:7" x14ac:dyDescent="0.25">
      <c r="A4" s="2" t="s">
        <v>108</v>
      </c>
      <c r="B4" s="3">
        <v>1006.3919999999999</v>
      </c>
      <c r="C4" s="23">
        <v>8.8279999999999994</v>
      </c>
      <c r="D4" s="23">
        <v>10.302</v>
      </c>
      <c r="E4" s="10">
        <v>45</v>
      </c>
      <c r="F4" s="3">
        <v>168.03600000000003</v>
      </c>
      <c r="G4" s="19">
        <v>0.1669687358405075</v>
      </c>
    </row>
    <row r="5" spans="1:7" x14ac:dyDescent="0.25">
      <c r="A5" s="2" t="s">
        <v>106</v>
      </c>
      <c r="B5" s="3">
        <v>1040.98</v>
      </c>
      <c r="C5" s="23">
        <v>45.26</v>
      </c>
      <c r="D5" s="23">
        <v>60</v>
      </c>
      <c r="E5" s="10">
        <v>43</v>
      </c>
      <c r="F5" s="3">
        <v>339.02000000000004</v>
      </c>
      <c r="G5" s="19">
        <v>0.32567388422448079</v>
      </c>
    </row>
    <row r="6" spans="1:7" x14ac:dyDescent="0.25">
      <c r="A6" s="2" t="s">
        <v>128</v>
      </c>
      <c r="B6" s="3">
        <v>987.83999999999992</v>
      </c>
      <c r="C6" s="23">
        <v>82.32</v>
      </c>
      <c r="D6" s="23">
        <v>100.07</v>
      </c>
      <c r="E6" s="10">
        <v>40</v>
      </c>
      <c r="F6" s="3">
        <v>213</v>
      </c>
      <c r="G6" s="19">
        <v>0.21562196307094267</v>
      </c>
    </row>
    <row r="7" spans="1:7" x14ac:dyDescent="0.25">
      <c r="A7" s="2" t="s">
        <v>127</v>
      </c>
      <c r="B7" s="3">
        <v>984.59999999999991</v>
      </c>
      <c r="C7" s="23">
        <v>196.92</v>
      </c>
      <c r="D7" s="23">
        <v>220</v>
      </c>
      <c r="E7" s="10">
        <v>39</v>
      </c>
      <c r="F7" s="3">
        <v>115.40000000000006</v>
      </c>
      <c r="G7" s="19">
        <v>0.1172049563274427</v>
      </c>
    </row>
    <row r="8" spans="1:7" x14ac:dyDescent="0.25">
      <c r="A8" s="2" t="s">
        <v>100</v>
      </c>
      <c r="B8" s="3">
        <v>999.99599999999998</v>
      </c>
      <c r="C8" s="23">
        <v>0.1336</v>
      </c>
      <c r="D8" s="23">
        <v>0.14899999999999999</v>
      </c>
      <c r="E8" s="10">
        <v>34</v>
      </c>
      <c r="F8" s="3">
        <v>115.26899999999998</v>
      </c>
      <c r="G8" s="19">
        <v>0.11526946107784429</v>
      </c>
    </row>
    <row r="9" spans="1:7" x14ac:dyDescent="0.25">
      <c r="A9" s="2" t="s">
        <v>109</v>
      </c>
      <c r="B9" s="3">
        <v>1585.5</v>
      </c>
      <c r="C9" s="23">
        <v>1585.5</v>
      </c>
      <c r="D9" s="23">
        <v>1911.5</v>
      </c>
      <c r="E9" s="10">
        <v>33</v>
      </c>
      <c r="F9" s="3">
        <v>326</v>
      </c>
      <c r="G9" s="19">
        <v>0.20561337117628509</v>
      </c>
    </row>
    <row r="10" spans="1:7" x14ac:dyDescent="0.25">
      <c r="A10" s="2" t="s">
        <v>101</v>
      </c>
      <c r="B10" s="3">
        <v>988.39999999999986</v>
      </c>
      <c r="C10" s="23">
        <v>17.649999999999999</v>
      </c>
      <c r="D10" s="23">
        <v>20.02</v>
      </c>
      <c r="E10" s="10">
        <v>33</v>
      </c>
      <c r="F10" s="3">
        <v>132.72000000000006</v>
      </c>
      <c r="G10" s="19">
        <v>0.13427762039660063</v>
      </c>
    </row>
    <row r="11" spans="1:7" x14ac:dyDescent="0.25">
      <c r="A11" s="2" t="s">
        <v>104</v>
      </c>
      <c r="B11" s="3">
        <v>1007.7600000000001</v>
      </c>
      <c r="C11" s="23">
        <v>19.760000000000002</v>
      </c>
      <c r="D11" s="23">
        <v>23.67</v>
      </c>
      <c r="E11" s="10">
        <v>29</v>
      </c>
      <c r="F11" s="3">
        <v>199.41</v>
      </c>
      <c r="G11" s="19">
        <v>0.19787449392712547</v>
      </c>
    </row>
    <row r="12" spans="1:7" x14ac:dyDescent="0.25">
      <c r="A12" s="2" t="s">
        <v>102</v>
      </c>
      <c r="B12" s="3">
        <v>954.80000000000007</v>
      </c>
      <c r="C12" s="23">
        <v>68.2</v>
      </c>
      <c r="D12" s="23">
        <v>86</v>
      </c>
      <c r="E12" s="10">
        <v>26</v>
      </c>
      <c r="F12" s="3">
        <v>249.19999999999996</v>
      </c>
      <c r="G12" s="19">
        <v>0.26099706744868029</v>
      </c>
    </row>
    <row r="13" spans="1:7" x14ac:dyDescent="0.25">
      <c r="A13" s="2" t="s">
        <v>99</v>
      </c>
      <c r="B13" s="3">
        <v>1018.9200000000001</v>
      </c>
      <c r="C13" s="23">
        <v>2.4260000000000002</v>
      </c>
      <c r="D13" s="23">
        <v>2.7679999999999998</v>
      </c>
      <c r="E13" s="10">
        <v>22</v>
      </c>
      <c r="F13" s="3">
        <v>143.63999999999984</v>
      </c>
      <c r="G13" s="19">
        <v>0.14097279472382507</v>
      </c>
    </row>
    <row r="14" spans="1:7" x14ac:dyDescent="0.25">
      <c r="A14" s="2" t="s">
        <v>98</v>
      </c>
      <c r="B14" s="3">
        <v>967.02</v>
      </c>
      <c r="C14" s="23">
        <v>161.16999999999999</v>
      </c>
      <c r="D14" s="23">
        <v>190.02</v>
      </c>
      <c r="E14" s="10">
        <v>16</v>
      </c>
      <c r="F14" s="3">
        <v>173.10000000000014</v>
      </c>
      <c r="G14" s="19">
        <v>0.17900353663833235</v>
      </c>
    </row>
    <row r="15" spans="1:7" x14ac:dyDescent="0.25">
      <c r="A15" s="2" t="s">
        <v>129</v>
      </c>
      <c r="B15" s="3">
        <v>909.5</v>
      </c>
      <c r="C15" s="23">
        <v>909.5</v>
      </c>
      <c r="D15" s="23">
        <v>1090.2</v>
      </c>
      <c r="E15" s="10">
        <v>12</v>
      </c>
      <c r="F15" s="3">
        <v>180.70000000000005</v>
      </c>
      <c r="G15" s="19">
        <v>0.19868059373282029</v>
      </c>
    </row>
    <row r="16" spans="1:7" x14ac:dyDescent="0.25">
      <c r="A16" s="2" t="s">
        <v>110</v>
      </c>
      <c r="B16" s="3">
        <v>976.32</v>
      </c>
      <c r="C16" s="23">
        <v>54.24</v>
      </c>
      <c r="D16" s="23">
        <v>57.82</v>
      </c>
      <c r="E16" s="10">
        <v>9</v>
      </c>
      <c r="F16" s="3">
        <v>64.439999999999969</v>
      </c>
      <c r="G16" s="19">
        <v>6.6002949852507334E-2</v>
      </c>
    </row>
    <row r="17" spans="1:7" x14ac:dyDescent="0.25">
      <c r="A17" s="2" t="s">
        <v>103</v>
      </c>
      <c r="B17" s="3">
        <v>1028.5</v>
      </c>
      <c r="C17" s="23">
        <v>93.5</v>
      </c>
      <c r="D17" s="23">
        <v>110</v>
      </c>
      <c r="E17" s="10">
        <v>9</v>
      </c>
      <c r="F17" s="3">
        <v>181.5</v>
      </c>
      <c r="G17" s="19">
        <v>0.17647058823529413</v>
      </c>
    </row>
    <row r="18" spans="1:7" x14ac:dyDescent="0.25">
      <c r="A18" s="2" t="s">
        <v>105</v>
      </c>
      <c r="B18" s="3">
        <v>974.35</v>
      </c>
      <c r="C18" s="23">
        <v>194.87</v>
      </c>
      <c r="D18" s="23">
        <v>208.59</v>
      </c>
      <c r="E18" s="10">
        <v>4</v>
      </c>
      <c r="F18" s="3">
        <v>68.599999999999994</v>
      </c>
      <c r="G18" s="19">
        <v>7.0405911633396615E-2</v>
      </c>
    </row>
    <row r="19" spans="1:7" x14ac:dyDescent="0.25">
      <c r="A19" s="2" t="s">
        <v>107</v>
      </c>
      <c r="B19" s="3">
        <v>944.9</v>
      </c>
      <c r="C19" s="23">
        <v>188.98</v>
      </c>
      <c r="D19" s="23">
        <v>194.4</v>
      </c>
      <c r="E19" s="10">
        <v>1</v>
      </c>
      <c r="F19" s="3">
        <v>27.10000000000008</v>
      </c>
      <c r="G19" s="19">
        <v>2.8680283627897218E-2</v>
      </c>
    </row>
    <row r="20" spans="1:7" x14ac:dyDescent="0.25">
      <c r="A20" s="2" t="s">
        <v>130</v>
      </c>
      <c r="B20" s="3">
        <v>955.52</v>
      </c>
      <c r="C20" s="23">
        <v>0.64</v>
      </c>
      <c r="D20" s="23">
        <v>0.63500000000000001</v>
      </c>
      <c r="E20" s="10" t="e">
        <v>#DIV/0!</v>
      </c>
      <c r="F20" s="3">
        <v>0</v>
      </c>
      <c r="G20" s="19" t="e">
        <v>#DIV/0!</v>
      </c>
    </row>
    <row r="21" spans="1:7" x14ac:dyDescent="0.25">
      <c r="A21" s="2" t="s">
        <v>117</v>
      </c>
      <c r="B21" s="3">
        <v>1036.8</v>
      </c>
      <c r="C21" s="23">
        <v>57.6</v>
      </c>
      <c r="D21" s="23">
        <v>55.06</v>
      </c>
      <c r="E21" s="10" t="e">
        <v>#DIV/0!</v>
      </c>
      <c r="F21" s="3">
        <v>0</v>
      </c>
      <c r="G21" s="19" t="e">
        <v>#DIV/0!</v>
      </c>
    </row>
    <row r="22" spans="1:7" x14ac:dyDescent="0.25">
      <c r="A22" s="2" t="s">
        <v>131</v>
      </c>
      <c r="B22" s="3">
        <v>946.56200000000001</v>
      </c>
      <c r="C22" s="23">
        <v>0.63400000000000001</v>
      </c>
      <c r="D22" s="23">
        <v>0.61199999999999999</v>
      </c>
      <c r="E22" s="10" t="e">
        <v>#DIV/0!</v>
      </c>
      <c r="F22" s="3">
        <v>0</v>
      </c>
      <c r="G22" s="19" t="e">
        <v>#DIV/0!</v>
      </c>
    </row>
    <row r="23" spans="1:7" x14ac:dyDescent="0.25">
      <c r="A23" s="2" t="s">
        <v>134</v>
      </c>
      <c r="B23" s="3">
        <v>999.18</v>
      </c>
      <c r="C23" s="23">
        <v>7.93</v>
      </c>
      <c r="D23" s="23">
        <v>7.7450000000000001</v>
      </c>
      <c r="E23" s="10" t="e">
        <v>#DIV/0!</v>
      </c>
      <c r="F23" s="3">
        <v>0</v>
      </c>
      <c r="G23" s="19" t="e">
        <v>#DIV/0!</v>
      </c>
    </row>
    <row r="24" spans="1:7" x14ac:dyDescent="0.25">
      <c r="A24" s="2" t="s">
        <v>135</v>
      </c>
      <c r="B24" s="3">
        <v>1289.98</v>
      </c>
      <c r="C24" s="23">
        <v>644.99</v>
      </c>
      <c r="D24" s="23">
        <v>619.97</v>
      </c>
      <c r="E24" s="10" t="e">
        <v>#DIV/0!</v>
      </c>
      <c r="F24" s="3">
        <v>0</v>
      </c>
      <c r="G24" s="19" t="e">
        <v>#DIV/0!</v>
      </c>
    </row>
    <row r="25" spans="1:7" x14ac:dyDescent="0.25">
      <c r="A25" s="2" t="s">
        <v>121</v>
      </c>
      <c r="B25" s="3">
        <v>980.4</v>
      </c>
      <c r="C25" s="23">
        <v>25.8</v>
      </c>
      <c r="D25" s="23">
        <v>25.7</v>
      </c>
      <c r="E25" s="10" t="e">
        <v>#DIV/0!</v>
      </c>
      <c r="F25" s="3">
        <v>0</v>
      </c>
      <c r="G25" s="19" t="e">
        <v>#DIV/0!</v>
      </c>
    </row>
    <row r="26" spans="1:7" x14ac:dyDescent="0.25">
      <c r="A26" s="2" t="s">
        <v>138</v>
      </c>
      <c r="B26" s="3">
        <v>1057.92</v>
      </c>
      <c r="C26" s="23">
        <v>352.64</v>
      </c>
      <c r="D26" s="23">
        <v>342.5</v>
      </c>
      <c r="E26" s="10" t="e">
        <v>#DIV/0!</v>
      </c>
      <c r="F26" s="3">
        <v>0</v>
      </c>
      <c r="G26" s="19" t="e">
        <v>#DIV/0!</v>
      </c>
    </row>
    <row r="27" spans="1:7" x14ac:dyDescent="0.25">
      <c r="A27" s="2" t="s">
        <v>133</v>
      </c>
      <c r="B27" s="3">
        <v>1024.5300119999999</v>
      </c>
      <c r="C27" s="23">
        <v>31.046364000000001</v>
      </c>
      <c r="D27" s="23">
        <v>30.22</v>
      </c>
      <c r="E27" s="10" t="e">
        <v>#DIV/0!</v>
      </c>
      <c r="F27" s="3">
        <v>0</v>
      </c>
      <c r="G27" s="19" t="e">
        <v>#DIV/0!</v>
      </c>
    </row>
    <row r="28" spans="1:7" x14ac:dyDescent="0.25">
      <c r="A28" s="2" t="s">
        <v>139</v>
      </c>
      <c r="B28" s="3">
        <v>1046</v>
      </c>
      <c r="C28" s="23">
        <v>104.6</v>
      </c>
      <c r="D28" s="23">
        <v>101.5</v>
      </c>
      <c r="E28" s="10" t="e">
        <v>#DIV/0!</v>
      </c>
      <c r="F28" s="3">
        <v>0</v>
      </c>
      <c r="G28" s="19" t="e">
        <v>#DIV/0!</v>
      </c>
    </row>
    <row r="29" spans="1:7" x14ac:dyDescent="0.25">
      <c r="A29" s="2" t="s">
        <v>136</v>
      </c>
      <c r="B29" s="3">
        <v>970.52</v>
      </c>
      <c r="C29" s="23">
        <v>25.54</v>
      </c>
      <c r="D29" s="23">
        <v>25.16</v>
      </c>
      <c r="E29" s="10" t="e">
        <v>#DIV/0!</v>
      </c>
      <c r="F29" s="3">
        <v>0</v>
      </c>
      <c r="G29" s="19" t="e">
        <v>#DIV/0!</v>
      </c>
    </row>
    <row r="30" spans="1:7" x14ac:dyDescent="0.25">
      <c r="A30" s="2" t="s">
        <v>118</v>
      </c>
      <c r="B30" s="3">
        <v>959.36</v>
      </c>
      <c r="C30" s="23">
        <v>479.68</v>
      </c>
      <c r="D30" s="23">
        <v>461.37</v>
      </c>
      <c r="E30" s="10" t="e">
        <v>#DIV/0!</v>
      </c>
      <c r="F30" s="3">
        <v>0</v>
      </c>
      <c r="G30" s="19" t="e">
        <v>#DIV/0!</v>
      </c>
    </row>
    <row r="31" spans="1:7" x14ac:dyDescent="0.25">
      <c r="A31" s="2" t="s">
        <v>113</v>
      </c>
      <c r="B31" s="3">
        <v>994.33800000000008</v>
      </c>
      <c r="C31" s="23">
        <v>0.66600000000000004</v>
      </c>
      <c r="D31" s="23">
        <v>0.62</v>
      </c>
      <c r="E31" s="10" t="e">
        <v>#DIV/0!</v>
      </c>
      <c r="F31" s="3">
        <v>0</v>
      </c>
      <c r="G31" s="19" t="e">
        <v>#DIV/0!</v>
      </c>
    </row>
    <row r="32" spans="1:7" x14ac:dyDescent="0.25">
      <c r="A32" s="2" t="s">
        <v>115</v>
      </c>
      <c r="B32" s="3">
        <v>956.54</v>
      </c>
      <c r="C32" s="23">
        <v>3.6789999999999998</v>
      </c>
      <c r="D32" s="23">
        <v>3.47</v>
      </c>
      <c r="E32" s="10" t="e">
        <v>#DIV/0!</v>
      </c>
      <c r="F32" s="3">
        <v>0</v>
      </c>
      <c r="G32" s="19" t="e">
        <v>#DIV/0!</v>
      </c>
    </row>
    <row r="33" spans="1:7" x14ac:dyDescent="0.25">
      <c r="A33" s="2" t="s">
        <v>137</v>
      </c>
      <c r="B33" s="3">
        <v>884</v>
      </c>
      <c r="C33" s="23">
        <v>3.4</v>
      </c>
      <c r="D33" s="23">
        <v>3.3780000000000001</v>
      </c>
      <c r="E33" s="10" t="e">
        <v>#DIV/0!</v>
      </c>
      <c r="F33" s="3">
        <v>0</v>
      </c>
      <c r="G33" s="19" t="e">
        <v>#DIV/0!</v>
      </c>
    </row>
    <row r="34" spans="1:7" x14ac:dyDescent="0.25">
      <c r="A34" s="2" t="s">
        <v>119</v>
      </c>
      <c r="B34" s="3">
        <v>1978.56</v>
      </c>
      <c r="C34" s="23">
        <v>18.32</v>
      </c>
      <c r="D34" s="23">
        <v>18.240000000000002</v>
      </c>
      <c r="E34" s="10" t="e">
        <v>#DIV/0!</v>
      </c>
      <c r="F34" s="3">
        <v>0</v>
      </c>
      <c r="G34" s="19" t="e">
        <v>#DIV/0!</v>
      </c>
    </row>
    <row r="35" spans="1:7" x14ac:dyDescent="0.25">
      <c r="A35" s="2" t="s">
        <v>114</v>
      </c>
      <c r="B35" s="3">
        <v>1005.48</v>
      </c>
      <c r="C35" s="23">
        <v>26.46</v>
      </c>
      <c r="D35" s="23">
        <v>24.76</v>
      </c>
      <c r="E35" s="10" t="e">
        <v>#DIV/0!</v>
      </c>
      <c r="F35" s="3">
        <v>0</v>
      </c>
      <c r="G35" s="19" t="e">
        <v>#DIV/0!</v>
      </c>
    </row>
    <row r="36" spans="1:7" x14ac:dyDescent="0.25">
      <c r="A36" s="2" t="s">
        <v>116</v>
      </c>
      <c r="B36" s="3">
        <v>997.52</v>
      </c>
      <c r="C36" s="23">
        <v>13.48</v>
      </c>
      <c r="D36" s="23">
        <v>13.1</v>
      </c>
      <c r="E36" s="10" t="e">
        <v>#DIV/0!</v>
      </c>
      <c r="F36" s="3">
        <v>0</v>
      </c>
      <c r="G36" s="19" t="e">
        <v>#DIV/0!</v>
      </c>
    </row>
    <row r="37" spans="1:7" x14ac:dyDescent="0.25">
      <c r="A37" s="2" t="s">
        <v>132</v>
      </c>
      <c r="B37" s="3">
        <v>924</v>
      </c>
      <c r="C37" s="23">
        <v>462</v>
      </c>
      <c r="D37" s="23">
        <v>447.22</v>
      </c>
      <c r="E37" s="10" t="e">
        <v>#DIV/0!</v>
      </c>
      <c r="F37" s="3">
        <v>0</v>
      </c>
      <c r="G37" s="19" t="e">
        <v>#DIV/0!</v>
      </c>
    </row>
    <row r="38" spans="1:7" x14ac:dyDescent="0.25">
      <c r="A38" s="2" t="s">
        <v>112</v>
      </c>
      <c r="B38" s="3">
        <v>930.06599999999992</v>
      </c>
      <c r="C38" s="23">
        <v>0.40899999999999997</v>
      </c>
      <c r="D38" s="23">
        <v>0.4</v>
      </c>
      <c r="E38" s="10" t="e">
        <v>#DIV/0!</v>
      </c>
      <c r="F38" s="3">
        <v>0</v>
      </c>
      <c r="G38" s="19" t="e">
        <v>#DIV/0!</v>
      </c>
    </row>
    <row r="39" spans="1:7" x14ac:dyDescent="0.25">
      <c r="A39" s="2" t="s">
        <v>120</v>
      </c>
      <c r="B39" s="3">
        <v>996.02399999999989</v>
      </c>
      <c r="C39" s="23">
        <v>1.1279999999999999</v>
      </c>
      <c r="D39" s="23">
        <v>1.1100000000000001</v>
      </c>
      <c r="E39" s="10" t="e">
        <v>#DIV/0!</v>
      </c>
      <c r="F39" s="3">
        <v>0</v>
      </c>
      <c r="G39" s="19" t="e">
        <v>#DIV/0!</v>
      </c>
    </row>
    <row r="40" spans="1:7" x14ac:dyDescent="0.25">
      <c r="A40" s="2" t="s">
        <v>59</v>
      </c>
      <c r="B40" s="3">
        <v>37309.078012000005</v>
      </c>
      <c r="C40" s="23">
        <v>159.68162064864862</v>
      </c>
      <c r="D40" s="23">
        <v>175.31132432432432</v>
      </c>
      <c r="E40" s="10">
        <v>24.6875</v>
      </c>
      <c r="F40" s="3">
        <v>2697.1350000000002</v>
      </c>
      <c r="G40" s="19">
        <v>0.16248238824587388</v>
      </c>
    </row>
  </sheetData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6E72-FC53-4E75-9691-D640948077AC}">
  <sheetPr>
    <tabColor theme="5" tint="0.59999389629810485"/>
  </sheetPr>
  <dimension ref="A1:G40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17.5703125" bestFit="1" customWidth="1"/>
    <col min="2" max="2" width="19.42578125" bestFit="1" customWidth="1"/>
    <col min="3" max="3" width="15" bestFit="1" customWidth="1"/>
    <col min="4" max="4" width="20.140625" bestFit="1" customWidth="1"/>
    <col min="5" max="5" width="19.85546875" bestFit="1" customWidth="1"/>
    <col min="6" max="6" width="20" bestFit="1" customWidth="1"/>
    <col min="7" max="7" width="22.28515625" bestFit="1" customWidth="1"/>
    <col min="8" max="8" width="20.140625" bestFit="1" customWidth="1"/>
    <col min="9" max="9" width="24.28515625" bestFit="1" customWidth="1"/>
    <col min="10" max="10" width="22.5703125" bestFit="1" customWidth="1"/>
  </cols>
  <sheetData>
    <row r="1" spans="1:7" x14ac:dyDescent="0.25">
      <c r="A1" t="s">
        <v>0</v>
      </c>
      <c r="B1" t="s">
        <v>95</v>
      </c>
    </row>
    <row r="3" spans="1:7" x14ac:dyDescent="0.25">
      <c r="A3" t="s">
        <v>4</v>
      </c>
      <c r="B3" s="1" t="s">
        <v>5</v>
      </c>
      <c r="C3" t="s">
        <v>8</v>
      </c>
      <c r="D3" t="s">
        <v>9</v>
      </c>
      <c r="E3" t="s">
        <v>125</v>
      </c>
      <c r="F3" t="s">
        <v>140</v>
      </c>
      <c r="G3" t="s">
        <v>111</v>
      </c>
    </row>
    <row r="4" spans="1:7" x14ac:dyDescent="0.25">
      <c r="A4" s="2" t="s">
        <v>115</v>
      </c>
      <c r="B4" s="3">
        <v>956.54</v>
      </c>
      <c r="C4" s="23">
        <v>3.6789999999999998</v>
      </c>
      <c r="D4" s="23">
        <v>3.47</v>
      </c>
      <c r="E4" s="10">
        <v>22</v>
      </c>
      <c r="F4" s="3">
        <v>-54.339999999999904</v>
      </c>
      <c r="G4" s="19">
        <v>-5.6808915466159182E-2</v>
      </c>
    </row>
    <row r="5" spans="1:7" x14ac:dyDescent="0.25">
      <c r="A5" s="2" t="s">
        <v>113</v>
      </c>
      <c r="B5" s="3">
        <v>994.33800000000008</v>
      </c>
      <c r="C5" s="23">
        <v>0.66600000000000004</v>
      </c>
      <c r="D5" s="23">
        <v>0.62</v>
      </c>
      <c r="E5" s="10">
        <v>20</v>
      </c>
      <c r="F5" s="3">
        <v>-68.678000000000054</v>
      </c>
      <c r="G5" s="19">
        <v>-6.9069069069069122E-2</v>
      </c>
    </row>
    <row r="6" spans="1:7" x14ac:dyDescent="0.25">
      <c r="A6" s="2" t="s">
        <v>114</v>
      </c>
      <c r="B6" s="3">
        <v>1005.48</v>
      </c>
      <c r="C6" s="23">
        <v>26.46</v>
      </c>
      <c r="D6" s="23">
        <v>24.76</v>
      </c>
      <c r="E6" s="10">
        <v>16</v>
      </c>
      <c r="F6" s="3">
        <v>-64.599999999999966</v>
      </c>
      <c r="G6" s="19">
        <v>-6.4247921390778492E-2</v>
      </c>
    </row>
    <row r="7" spans="1:7" x14ac:dyDescent="0.25">
      <c r="A7" s="2" t="s">
        <v>134</v>
      </c>
      <c r="B7" s="3">
        <v>999.18</v>
      </c>
      <c r="C7" s="23">
        <v>7.93</v>
      </c>
      <c r="D7" s="23">
        <v>7.7450000000000001</v>
      </c>
      <c r="E7" s="10">
        <v>10</v>
      </c>
      <c r="F7" s="3">
        <v>-23.309999999999953</v>
      </c>
      <c r="G7" s="19">
        <v>-2.3329129886506889E-2</v>
      </c>
    </row>
    <row r="8" spans="1:7" x14ac:dyDescent="0.25">
      <c r="A8" s="2" t="s">
        <v>112</v>
      </c>
      <c r="B8" s="3">
        <v>930.06599999999992</v>
      </c>
      <c r="C8" s="23">
        <v>0.40899999999999997</v>
      </c>
      <c r="D8" s="23">
        <v>0.4</v>
      </c>
      <c r="E8" s="10">
        <v>10</v>
      </c>
      <c r="F8" s="3">
        <v>-20.465999999999891</v>
      </c>
      <c r="G8" s="19">
        <v>-2.2004889975550009E-2</v>
      </c>
    </row>
    <row r="9" spans="1:7" x14ac:dyDescent="0.25">
      <c r="A9" s="2" t="s">
        <v>117</v>
      </c>
      <c r="B9" s="3">
        <v>1036.8</v>
      </c>
      <c r="C9" s="23">
        <v>57.6</v>
      </c>
      <c r="D9" s="23">
        <v>55.06</v>
      </c>
      <c r="E9" s="10">
        <v>8</v>
      </c>
      <c r="F9" s="3">
        <v>-45.719999999999985</v>
      </c>
      <c r="G9" s="19">
        <v>-4.4097222222222211E-2</v>
      </c>
    </row>
    <row r="10" spans="1:7" x14ac:dyDescent="0.25">
      <c r="A10" s="2" t="s">
        <v>135</v>
      </c>
      <c r="B10" s="3">
        <v>1289.98</v>
      </c>
      <c r="C10" s="23">
        <v>644.99</v>
      </c>
      <c r="D10" s="23">
        <v>619.97</v>
      </c>
      <c r="E10" s="10">
        <v>7</v>
      </c>
      <c r="F10" s="3">
        <v>-50.039999999999964</v>
      </c>
      <c r="G10" s="19">
        <v>-3.8791299089908339E-2</v>
      </c>
    </row>
    <row r="11" spans="1:7" x14ac:dyDescent="0.25">
      <c r="A11" s="2" t="s">
        <v>133</v>
      </c>
      <c r="B11" s="3">
        <v>1024.5300119999999</v>
      </c>
      <c r="C11" s="23">
        <v>31.046364000000001</v>
      </c>
      <c r="D11" s="23">
        <v>30.22</v>
      </c>
      <c r="E11" s="10">
        <v>5</v>
      </c>
      <c r="F11" s="3">
        <v>-27.270012000000055</v>
      </c>
      <c r="G11" s="19">
        <v>-2.6617094356041232E-2</v>
      </c>
    </row>
    <row r="12" spans="1:7" x14ac:dyDescent="0.25">
      <c r="A12" s="2" t="s">
        <v>139</v>
      </c>
      <c r="B12" s="3">
        <v>1046</v>
      </c>
      <c r="C12" s="23">
        <v>104.6</v>
      </c>
      <c r="D12" s="23">
        <v>101.5</v>
      </c>
      <c r="E12" s="10">
        <v>4</v>
      </c>
      <c r="F12" s="3">
        <v>-30.999999999999943</v>
      </c>
      <c r="G12" s="19">
        <v>-2.9636711281070691E-2</v>
      </c>
    </row>
    <row r="13" spans="1:7" x14ac:dyDescent="0.25">
      <c r="A13" s="2" t="s">
        <v>132</v>
      </c>
      <c r="B13" s="3">
        <v>924</v>
      </c>
      <c r="C13" s="23">
        <v>462</v>
      </c>
      <c r="D13" s="23">
        <v>447.22</v>
      </c>
      <c r="E13" s="10">
        <v>4</v>
      </c>
      <c r="F13" s="3">
        <v>-29.559999999999945</v>
      </c>
      <c r="G13" s="19">
        <v>-3.1991341991341932E-2</v>
      </c>
    </row>
    <row r="14" spans="1:7" x14ac:dyDescent="0.25">
      <c r="A14" s="2" t="s">
        <v>138</v>
      </c>
      <c r="B14" s="3">
        <v>1057.92</v>
      </c>
      <c r="C14" s="23">
        <v>352.64</v>
      </c>
      <c r="D14" s="23">
        <v>342.5</v>
      </c>
      <c r="E14" s="10">
        <v>4</v>
      </c>
      <c r="F14" s="3">
        <v>-30.419999999999959</v>
      </c>
      <c r="G14" s="19">
        <v>-2.8754537205081629E-2</v>
      </c>
    </row>
    <row r="15" spans="1:7" x14ac:dyDescent="0.25">
      <c r="A15" s="2" t="s">
        <v>118</v>
      </c>
      <c r="B15" s="3">
        <v>959.36</v>
      </c>
      <c r="C15" s="23">
        <v>479.68</v>
      </c>
      <c r="D15" s="23">
        <v>461.37</v>
      </c>
      <c r="E15" s="10">
        <v>3</v>
      </c>
      <c r="F15" s="3">
        <v>-36.620000000000005</v>
      </c>
      <c r="G15" s="19">
        <v>-3.8171280853902603E-2</v>
      </c>
    </row>
    <row r="16" spans="1:7" x14ac:dyDescent="0.25">
      <c r="A16" s="2" t="s">
        <v>116</v>
      </c>
      <c r="B16" s="3">
        <v>997.52</v>
      </c>
      <c r="C16" s="23">
        <v>13.48</v>
      </c>
      <c r="D16" s="23">
        <v>13.1</v>
      </c>
      <c r="E16" s="10">
        <v>3</v>
      </c>
      <c r="F16" s="3">
        <v>-28.120000000000058</v>
      </c>
      <c r="G16" s="19">
        <v>-2.8189910979228544E-2</v>
      </c>
    </row>
    <row r="17" spans="1:7" x14ac:dyDescent="0.25">
      <c r="A17" s="2" t="s">
        <v>137</v>
      </c>
      <c r="B17" s="3">
        <v>884</v>
      </c>
      <c r="C17" s="23">
        <v>3.4</v>
      </c>
      <c r="D17" s="23">
        <v>3.3780000000000001</v>
      </c>
      <c r="E17" s="10">
        <v>2</v>
      </c>
      <c r="F17" s="3">
        <v>-5.7199999999999473</v>
      </c>
      <c r="G17" s="19">
        <v>-6.4705882352940579E-3</v>
      </c>
    </row>
    <row r="18" spans="1:7" x14ac:dyDescent="0.25">
      <c r="A18" s="2" t="s">
        <v>130</v>
      </c>
      <c r="B18" s="3">
        <v>955.52</v>
      </c>
      <c r="C18" s="23">
        <v>0.64</v>
      </c>
      <c r="D18" s="23">
        <v>0.63500000000000001</v>
      </c>
      <c r="E18" s="10">
        <v>1</v>
      </c>
      <c r="F18" s="3">
        <v>-7.465000000000007</v>
      </c>
      <c r="G18" s="19">
        <v>-7.8125000000000069E-3</v>
      </c>
    </row>
    <row r="19" spans="1:7" x14ac:dyDescent="0.25">
      <c r="A19" s="2" t="s">
        <v>131</v>
      </c>
      <c r="B19" s="3">
        <v>946.56200000000001</v>
      </c>
      <c r="C19" s="23">
        <v>0.63400000000000001</v>
      </c>
      <c r="D19" s="23">
        <v>0.61199999999999999</v>
      </c>
      <c r="E19" s="10">
        <v>1</v>
      </c>
      <c r="F19" s="3">
        <v>-32.846000000000032</v>
      </c>
      <c r="G19" s="19">
        <v>-3.4700315457413283E-2</v>
      </c>
    </row>
    <row r="20" spans="1:7" x14ac:dyDescent="0.25">
      <c r="A20" s="2" t="s">
        <v>119</v>
      </c>
      <c r="B20" s="3">
        <v>1978.56</v>
      </c>
      <c r="C20" s="23">
        <v>18.32</v>
      </c>
      <c r="D20" s="23">
        <v>18.240000000000002</v>
      </c>
      <c r="E20" s="10">
        <v>1</v>
      </c>
      <c r="F20" s="3">
        <v>-8.6400000000000077</v>
      </c>
      <c r="G20" s="19">
        <v>-4.3644494024208313E-3</v>
      </c>
    </row>
    <row r="21" spans="1:7" x14ac:dyDescent="0.25">
      <c r="A21" s="2" t="s">
        <v>136</v>
      </c>
      <c r="B21" s="3">
        <v>970.52</v>
      </c>
      <c r="C21" s="23">
        <v>25.54</v>
      </c>
      <c r="D21" s="23">
        <v>25.16</v>
      </c>
      <c r="E21" s="10">
        <v>1</v>
      </c>
      <c r="F21" s="3">
        <v>-14.439999999999962</v>
      </c>
      <c r="G21" s="19">
        <v>-1.4878621769772867E-2</v>
      </c>
    </row>
    <row r="22" spans="1:7" x14ac:dyDescent="0.25">
      <c r="A22" s="2" t="s">
        <v>121</v>
      </c>
      <c r="B22" s="3">
        <v>980.4</v>
      </c>
      <c r="C22" s="23">
        <v>25.8</v>
      </c>
      <c r="D22" s="23">
        <v>25.7</v>
      </c>
      <c r="E22" s="10">
        <v>0</v>
      </c>
      <c r="F22" s="3">
        <v>-3.800000000000054</v>
      </c>
      <c r="G22" s="19">
        <v>-3.875968992248117E-3</v>
      </c>
    </row>
    <row r="23" spans="1:7" x14ac:dyDescent="0.25">
      <c r="A23" s="2" t="s">
        <v>120</v>
      </c>
      <c r="B23" s="3">
        <v>996.02399999999989</v>
      </c>
      <c r="C23" s="23">
        <v>1.1279999999999999</v>
      </c>
      <c r="D23" s="23">
        <v>1.1100000000000001</v>
      </c>
      <c r="E23" s="10">
        <v>0</v>
      </c>
      <c r="F23" s="3">
        <v>-15.893999999999817</v>
      </c>
      <c r="G23" s="19">
        <v>-1.5957446808510457E-2</v>
      </c>
    </row>
    <row r="24" spans="1:7" x14ac:dyDescent="0.25">
      <c r="A24" s="2" t="s">
        <v>107</v>
      </c>
      <c r="B24" s="3">
        <v>944.9</v>
      </c>
      <c r="C24" s="23">
        <v>188.98</v>
      </c>
      <c r="D24" s="23">
        <v>194.4</v>
      </c>
      <c r="E24" s="10" t="e">
        <v>#DIV/0!</v>
      </c>
      <c r="F24" s="3">
        <v>0</v>
      </c>
      <c r="G24" s="19" t="e">
        <v>#DIV/0!</v>
      </c>
    </row>
    <row r="25" spans="1:7" x14ac:dyDescent="0.25">
      <c r="A25" s="2" t="s">
        <v>105</v>
      </c>
      <c r="B25" s="3">
        <v>974.35</v>
      </c>
      <c r="C25" s="23">
        <v>194.87</v>
      </c>
      <c r="D25" s="23">
        <v>208.59</v>
      </c>
      <c r="E25" s="10" t="e">
        <v>#DIV/0!</v>
      </c>
      <c r="F25" s="3">
        <v>0</v>
      </c>
      <c r="G25" s="19" t="e">
        <v>#DIV/0!</v>
      </c>
    </row>
    <row r="26" spans="1:7" x14ac:dyDescent="0.25">
      <c r="A26" s="2" t="s">
        <v>127</v>
      </c>
      <c r="B26" s="3">
        <v>984.59999999999991</v>
      </c>
      <c r="C26" s="23">
        <v>196.92</v>
      </c>
      <c r="D26" s="23">
        <v>220</v>
      </c>
      <c r="E26" s="10" t="e">
        <v>#DIV/0!</v>
      </c>
      <c r="F26" s="3">
        <v>0</v>
      </c>
      <c r="G26" s="19" t="e">
        <v>#DIV/0!</v>
      </c>
    </row>
    <row r="27" spans="1:7" x14ac:dyDescent="0.25">
      <c r="A27" s="2" t="s">
        <v>109</v>
      </c>
      <c r="B27" s="3">
        <v>1585.5</v>
      </c>
      <c r="C27" s="23">
        <v>1585.5</v>
      </c>
      <c r="D27" s="23">
        <v>1911.5</v>
      </c>
      <c r="E27" s="10" t="e">
        <v>#DIV/0!</v>
      </c>
      <c r="F27" s="3">
        <v>0</v>
      </c>
      <c r="G27" s="19" t="e">
        <v>#DIV/0!</v>
      </c>
    </row>
    <row r="28" spans="1:7" x14ac:dyDescent="0.25">
      <c r="A28" s="2" t="s">
        <v>98</v>
      </c>
      <c r="B28" s="3">
        <v>967.02</v>
      </c>
      <c r="C28" s="23">
        <v>161.16999999999999</v>
      </c>
      <c r="D28" s="23">
        <v>190.02</v>
      </c>
      <c r="E28" s="10" t="e">
        <v>#DIV/0!</v>
      </c>
      <c r="F28" s="3">
        <v>0</v>
      </c>
      <c r="G28" s="19" t="e">
        <v>#DIV/0!</v>
      </c>
    </row>
    <row r="29" spans="1:7" x14ac:dyDescent="0.25">
      <c r="A29" s="2" t="s">
        <v>129</v>
      </c>
      <c r="B29" s="3">
        <v>909.5</v>
      </c>
      <c r="C29" s="23">
        <v>909.5</v>
      </c>
      <c r="D29" s="23">
        <v>1090.2</v>
      </c>
      <c r="E29" s="10" t="e">
        <v>#DIV/0!</v>
      </c>
      <c r="F29" s="3">
        <v>0</v>
      </c>
      <c r="G29" s="19" t="e">
        <v>#DIV/0!</v>
      </c>
    </row>
    <row r="30" spans="1:7" x14ac:dyDescent="0.25">
      <c r="A30" s="2" t="s">
        <v>110</v>
      </c>
      <c r="B30" s="3">
        <v>976.32</v>
      </c>
      <c r="C30" s="23">
        <v>54.24</v>
      </c>
      <c r="D30" s="23">
        <v>57.82</v>
      </c>
      <c r="E30" s="10" t="e">
        <v>#DIV/0!</v>
      </c>
      <c r="F30" s="3">
        <v>0</v>
      </c>
      <c r="G30" s="19" t="e">
        <v>#DIV/0!</v>
      </c>
    </row>
    <row r="31" spans="1:7" x14ac:dyDescent="0.25">
      <c r="A31" s="2" t="s">
        <v>102</v>
      </c>
      <c r="B31" s="3">
        <v>954.80000000000007</v>
      </c>
      <c r="C31" s="23">
        <v>68.2</v>
      </c>
      <c r="D31" s="23">
        <v>86</v>
      </c>
      <c r="E31" s="10" t="e">
        <v>#DIV/0!</v>
      </c>
      <c r="F31" s="3">
        <v>0</v>
      </c>
      <c r="G31" s="19" t="e">
        <v>#DIV/0!</v>
      </c>
    </row>
    <row r="32" spans="1:7" x14ac:dyDescent="0.25">
      <c r="A32" s="2" t="s">
        <v>128</v>
      </c>
      <c r="B32" s="3">
        <v>987.83999999999992</v>
      </c>
      <c r="C32" s="23">
        <v>82.32</v>
      </c>
      <c r="D32" s="23">
        <v>100.07</v>
      </c>
      <c r="E32" s="10" t="e">
        <v>#DIV/0!</v>
      </c>
      <c r="F32" s="3">
        <v>0</v>
      </c>
      <c r="G32" s="19" t="e">
        <v>#DIV/0!</v>
      </c>
    </row>
    <row r="33" spans="1:7" x14ac:dyDescent="0.25">
      <c r="A33" s="2" t="s">
        <v>103</v>
      </c>
      <c r="B33" s="3">
        <v>1028.5</v>
      </c>
      <c r="C33" s="23">
        <v>93.5</v>
      </c>
      <c r="D33" s="23">
        <v>110</v>
      </c>
      <c r="E33" s="10" t="e">
        <v>#DIV/0!</v>
      </c>
      <c r="F33" s="3">
        <v>0</v>
      </c>
      <c r="G33" s="19" t="e">
        <v>#DIV/0!</v>
      </c>
    </row>
    <row r="34" spans="1:7" x14ac:dyDescent="0.25">
      <c r="A34" s="2" t="s">
        <v>106</v>
      </c>
      <c r="B34" s="3">
        <v>1040.98</v>
      </c>
      <c r="C34" s="23">
        <v>45.26</v>
      </c>
      <c r="D34" s="23">
        <v>60</v>
      </c>
      <c r="E34" s="10" t="e">
        <v>#DIV/0!</v>
      </c>
      <c r="F34" s="3">
        <v>0</v>
      </c>
      <c r="G34" s="19" t="e">
        <v>#DIV/0!</v>
      </c>
    </row>
    <row r="35" spans="1:7" x14ac:dyDescent="0.25">
      <c r="A35" s="2" t="s">
        <v>104</v>
      </c>
      <c r="B35" s="3">
        <v>1007.7600000000001</v>
      </c>
      <c r="C35" s="23">
        <v>19.760000000000002</v>
      </c>
      <c r="D35" s="23">
        <v>23.67</v>
      </c>
      <c r="E35" s="10" t="e">
        <v>#DIV/0!</v>
      </c>
      <c r="F35" s="3">
        <v>0</v>
      </c>
      <c r="G35" s="19" t="e">
        <v>#DIV/0!</v>
      </c>
    </row>
    <row r="36" spans="1:7" x14ac:dyDescent="0.25">
      <c r="A36" s="2" t="s">
        <v>99</v>
      </c>
      <c r="B36" s="3">
        <v>1018.9200000000001</v>
      </c>
      <c r="C36" s="23">
        <v>2.4260000000000002</v>
      </c>
      <c r="D36" s="23">
        <v>2.7679999999999998</v>
      </c>
      <c r="E36" s="10" t="e">
        <v>#DIV/0!</v>
      </c>
      <c r="F36" s="3">
        <v>0</v>
      </c>
      <c r="G36" s="19" t="e">
        <v>#DIV/0!</v>
      </c>
    </row>
    <row r="37" spans="1:7" x14ac:dyDescent="0.25">
      <c r="A37" s="2" t="s">
        <v>100</v>
      </c>
      <c r="B37" s="3">
        <v>999.99599999999998</v>
      </c>
      <c r="C37" s="23">
        <v>0.1336</v>
      </c>
      <c r="D37" s="23">
        <v>0.14899999999999999</v>
      </c>
      <c r="E37" s="10" t="e">
        <v>#DIV/0!</v>
      </c>
      <c r="F37" s="3">
        <v>0</v>
      </c>
      <c r="G37" s="19" t="e">
        <v>#DIV/0!</v>
      </c>
    </row>
    <row r="38" spans="1:7" x14ac:dyDescent="0.25">
      <c r="A38" s="2" t="s">
        <v>108</v>
      </c>
      <c r="B38" s="3">
        <v>1006.3919999999999</v>
      </c>
      <c r="C38" s="23">
        <v>8.8279999999999994</v>
      </c>
      <c r="D38" s="23">
        <v>10.302</v>
      </c>
      <c r="E38" s="10" t="e">
        <v>#DIV/0!</v>
      </c>
      <c r="F38" s="3">
        <v>0</v>
      </c>
      <c r="G38" s="19" t="e">
        <v>#DIV/0!</v>
      </c>
    </row>
    <row r="39" spans="1:7" x14ac:dyDescent="0.25">
      <c r="A39" s="2" t="s">
        <v>101</v>
      </c>
      <c r="B39" s="3">
        <v>988.39999999999986</v>
      </c>
      <c r="C39" s="23">
        <v>17.649999999999999</v>
      </c>
      <c r="D39" s="23">
        <v>20.02</v>
      </c>
      <c r="E39" s="10" t="e">
        <v>#DIV/0!</v>
      </c>
      <c r="F39" s="3">
        <v>0</v>
      </c>
      <c r="G39" s="19" t="e">
        <v>#DIV/0!</v>
      </c>
    </row>
    <row r="40" spans="1:7" x14ac:dyDescent="0.25">
      <c r="A40" s="2" t="s">
        <v>59</v>
      </c>
      <c r="B40" s="3">
        <v>37309.078012000005</v>
      </c>
      <c r="C40" s="23">
        <v>159.68162064864862</v>
      </c>
      <c r="D40" s="23">
        <v>175.31132432432432</v>
      </c>
      <c r="E40" s="10">
        <v>5.8571428571428568</v>
      </c>
      <c r="F40" s="3">
        <v>-598.94901199999958</v>
      </c>
      <c r="G40" s="19">
        <v>-2.8292079230235304E-2</v>
      </c>
    </row>
  </sheetData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9B3B-0775-4A6E-BF52-23D253199F4B}">
  <sheetPr>
    <tabColor theme="5" tint="0.59999389629810485"/>
  </sheetPr>
  <dimension ref="A1:J32"/>
  <sheetViews>
    <sheetView workbookViewId="0">
      <selection activeCell="A29" sqref="A29:XFD29"/>
    </sheetView>
  </sheetViews>
  <sheetFormatPr baseColWidth="10" defaultColWidth="11.42578125" defaultRowHeight="15" x14ac:dyDescent="0.25"/>
  <cols>
    <col min="1" max="1" width="17.5703125" bestFit="1" customWidth="1"/>
    <col min="2" max="2" width="19.42578125" bestFit="1" customWidth="1"/>
    <col min="3" max="3" width="17.5703125" bestFit="1" customWidth="1"/>
    <col min="4" max="4" width="20.28515625" bestFit="1" customWidth="1"/>
    <col min="5" max="5" width="15" bestFit="1" customWidth="1"/>
    <col min="6" max="6" width="20.140625" bestFit="1" customWidth="1"/>
    <col min="7" max="7" width="18.140625" bestFit="1" customWidth="1"/>
    <col min="8" max="8" width="15.7109375" bestFit="1" customWidth="1"/>
    <col min="9" max="9" width="27.28515625" bestFit="1" customWidth="1"/>
    <col min="10" max="10" width="22.28515625" bestFit="1" customWidth="1"/>
    <col min="11" max="11" width="18.28515625" bestFit="1" customWidth="1"/>
    <col min="12" max="12" width="14.5703125" bestFit="1" customWidth="1"/>
  </cols>
  <sheetData>
    <row r="1" spans="1:10" x14ac:dyDescent="0.25">
      <c r="A1" t="s">
        <v>0</v>
      </c>
      <c r="B1" t="s">
        <v>60</v>
      </c>
      <c r="I1" t="s">
        <v>61</v>
      </c>
    </row>
    <row r="2" spans="1:10" x14ac:dyDescent="0.25">
      <c r="A2">
        <f>COUNTA(A4:A21)</f>
        <v>18</v>
      </c>
      <c r="I2" t="s">
        <v>62</v>
      </c>
      <c r="J2" t="s">
        <v>63</v>
      </c>
    </row>
    <row r="3" spans="1:10" x14ac:dyDescent="0.25">
      <c r="A3" t="s">
        <v>4</v>
      </c>
      <c r="B3" s="1" t="s">
        <v>5</v>
      </c>
      <c r="C3" t="s">
        <v>6</v>
      </c>
      <c r="D3" t="s">
        <v>64</v>
      </c>
      <c r="E3" t="s">
        <v>8</v>
      </c>
      <c r="F3" t="s">
        <v>9</v>
      </c>
      <c r="G3" t="s">
        <v>11</v>
      </c>
      <c r="H3" t="s">
        <v>12</v>
      </c>
      <c r="I3" t="s">
        <v>65</v>
      </c>
      <c r="J3" t="s">
        <v>66</v>
      </c>
    </row>
    <row r="4" spans="1:10" x14ac:dyDescent="0.25">
      <c r="A4" s="2" t="s">
        <v>67</v>
      </c>
      <c r="B4" s="3">
        <v>1022.76</v>
      </c>
      <c r="C4" s="4">
        <v>2.3265306122449068</v>
      </c>
      <c r="D4" s="10">
        <v>5</v>
      </c>
      <c r="E4" s="6">
        <v>56.82</v>
      </c>
      <c r="F4" s="6">
        <v>58.56</v>
      </c>
      <c r="G4" s="11">
        <v>3.8156112267680787E-3</v>
      </c>
      <c r="H4">
        <v>0.54</v>
      </c>
      <c r="I4" s="12">
        <v>4.871060171919761E-2</v>
      </c>
      <c r="J4" s="12">
        <v>-9.1370558375634126E-3</v>
      </c>
    </row>
    <row r="5" spans="1:10" x14ac:dyDescent="0.25">
      <c r="A5" s="2" t="s">
        <v>68</v>
      </c>
      <c r="B5" s="3">
        <v>999.73500000000001</v>
      </c>
      <c r="C5" s="4">
        <v>1.4925373134328319</v>
      </c>
      <c r="D5" s="10">
        <v>5</v>
      </c>
      <c r="E5" s="6">
        <v>13.695</v>
      </c>
      <c r="F5" s="6">
        <v>13.89</v>
      </c>
      <c r="G5" s="11">
        <v>1.9389506058974826E-3</v>
      </c>
      <c r="H5">
        <v>0.56999999999999995</v>
      </c>
      <c r="I5" s="12">
        <v>3.9670658682634752E-2</v>
      </c>
      <c r="J5" s="12">
        <v>-2.1486438886932024E-2</v>
      </c>
    </row>
    <row r="6" spans="1:10" x14ac:dyDescent="0.25">
      <c r="A6" s="2" t="s">
        <v>69</v>
      </c>
      <c r="B6" s="3">
        <v>988.2</v>
      </c>
      <c r="C6" s="4">
        <v>3.3749999999999916</v>
      </c>
      <c r="D6" s="10">
        <v>3</v>
      </c>
      <c r="E6" s="6">
        <v>18.3</v>
      </c>
      <c r="F6" s="6">
        <v>18.399999999999999</v>
      </c>
      <c r="G6" s="11">
        <v>6.5979119571120122E-4</v>
      </c>
      <c r="H6">
        <v>0.57999999999999996</v>
      </c>
      <c r="I6" s="12">
        <v>1.4332965821389099E-2</v>
      </c>
      <c r="J6" s="12">
        <v>-2.3354564755838747E-2</v>
      </c>
    </row>
    <row r="7" spans="1:10" x14ac:dyDescent="0.25">
      <c r="A7" s="2" t="s">
        <v>70</v>
      </c>
      <c r="B7" s="3">
        <v>980.13000000000011</v>
      </c>
      <c r="C7" s="4">
        <v>3.7142857142856989</v>
      </c>
      <c r="D7" s="10">
        <v>5</v>
      </c>
      <c r="E7" s="6">
        <v>1.1100000000000001</v>
      </c>
      <c r="F7" s="6">
        <v>1.1299999999999999</v>
      </c>
      <c r="G7" s="11">
        <v>1.8018018018017389E-3</v>
      </c>
      <c r="H7">
        <v>0.5</v>
      </c>
      <c r="I7" s="12">
        <v>3.1021897810218801E-2</v>
      </c>
      <c r="J7" s="12">
        <v>-2.7538726333907082E-2</v>
      </c>
    </row>
    <row r="8" spans="1:10" x14ac:dyDescent="0.25">
      <c r="A8" s="2" t="s">
        <v>71</v>
      </c>
      <c r="B8" s="3">
        <v>993.63</v>
      </c>
      <c r="C8" s="4">
        <v>4.6530612244898135</v>
      </c>
      <c r="D8" s="10">
        <v>4</v>
      </c>
      <c r="E8" s="6">
        <v>30.11</v>
      </c>
      <c r="F8" s="6">
        <v>30.88</v>
      </c>
      <c r="G8" s="11">
        <v>1.1973051335397501E-3</v>
      </c>
      <c r="H8">
        <v>0.56999999999999995</v>
      </c>
      <c r="I8" s="12">
        <v>4.2538825118163315E-2</v>
      </c>
      <c r="J8" s="12">
        <v>-4.6619326952763274E-2</v>
      </c>
    </row>
    <row r="9" spans="1:10" x14ac:dyDescent="0.25">
      <c r="A9" s="2" t="s">
        <v>72</v>
      </c>
      <c r="B9" s="3">
        <v>997.12</v>
      </c>
      <c r="C9" s="4">
        <v>2.0526315789473624</v>
      </c>
      <c r="D9" s="10">
        <v>1</v>
      </c>
      <c r="E9" s="6">
        <v>7.79</v>
      </c>
      <c r="F9" s="6">
        <v>7.78</v>
      </c>
      <c r="G9" s="11">
        <v>-4.7715563553029083E-3</v>
      </c>
      <c r="H9">
        <v>0.54</v>
      </c>
      <c r="I9" s="12">
        <v>2.3684210526315974E-2</v>
      </c>
      <c r="J9" s="12">
        <v>-4.8899755501222386E-2</v>
      </c>
    </row>
    <row r="10" spans="1:10" x14ac:dyDescent="0.25">
      <c r="A10" s="2" t="s">
        <v>73</v>
      </c>
      <c r="B10" s="3">
        <v>1009.4699999999999</v>
      </c>
      <c r="C10" s="4">
        <v>2.6619718309859195</v>
      </c>
      <c r="D10" s="10">
        <v>59</v>
      </c>
      <c r="E10" s="13">
        <v>13.11</v>
      </c>
      <c r="F10" s="13">
        <v>14.24</v>
      </c>
      <c r="G10" s="11">
        <v>2.011166010282772E-3</v>
      </c>
      <c r="H10">
        <v>0.55000000000000004</v>
      </c>
      <c r="I10" s="12">
        <v>0.14838709677419359</v>
      </c>
      <c r="J10" s="12">
        <v>-5.0666666666666638E-2</v>
      </c>
    </row>
    <row r="11" spans="1:10" x14ac:dyDescent="0.25">
      <c r="A11" s="2" t="s">
        <v>74</v>
      </c>
      <c r="B11" s="3">
        <v>996</v>
      </c>
      <c r="C11" s="4">
        <v>2.7717391304347787</v>
      </c>
      <c r="D11" s="10">
        <v>59</v>
      </c>
      <c r="E11" s="13">
        <v>3.984</v>
      </c>
      <c r="F11" s="13">
        <v>4.25</v>
      </c>
      <c r="G11" s="11">
        <v>1.007109565181108E-3</v>
      </c>
      <c r="H11">
        <v>0.5</v>
      </c>
      <c r="I11" s="12">
        <v>0.11842105263157898</v>
      </c>
      <c r="J11" s="12">
        <v>-5.4294615042278505E-2</v>
      </c>
    </row>
    <row r="12" spans="1:10" x14ac:dyDescent="0.25">
      <c r="A12" s="2" t="s">
        <v>75</v>
      </c>
      <c r="B12" s="3">
        <v>998.41700000000003</v>
      </c>
      <c r="C12" s="4">
        <v>1.852941176470591</v>
      </c>
      <c r="D12" s="10">
        <v>4</v>
      </c>
      <c r="E12" s="6">
        <v>4.601</v>
      </c>
      <c r="F12" s="6">
        <v>4.74</v>
      </c>
      <c r="G12" s="11">
        <v>-4.0127126448119554E-4</v>
      </c>
      <c r="H12">
        <v>0.54</v>
      </c>
      <c r="I12" s="12">
        <v>8.640843456337377E-2</v>
      </c>
      <c r="J12" s="12">
        <v>-5.989686632288771E-2</v>
      </c>
    </row>
    <row r="13" spans="1:10" x14ac:dyDescent="0.25">
      <c r="A13" s="2" t="s">
        <v>76</v>
      </c>
      <c r="B13" s="3">
        <v>1011</v>
      </c>
      <c r="C13" s="4">
        <v>8.3398058252427134</v>
      </c>
      <c r="D13" s="10">
        <v>1</v>
      </c>
      <c r="E13" s="6">
        <v>101.1</v>
      </c>
      <c r="F13" s="6">
        <v>101.4</v>
      </c>
      <c r="G13" s="11">
        <v>-1.4507741406968311E-3</v>
      </c>
      <c r="H13" t="e">
        <v>#N/A</v>
      </c>
      <c r="I13" s="12">
        <v>1.3290696512441524E-2</v>
      </c>
      <c r="J13" s="12">
        <v>-7.5576625034187161E-2</v>
      </c>
    </row>
    <row r="14" spans="1:10" x14ac:dyDescent="0.25">
      <c r="A14" s="2" t="s">
        <v>77</v>
      </c>
      <c r="B14" s="3">
        <v>993.33</v>
      </c>
      <c r="C14" s="4">
        <v>2.2832653061224466</v>
      </c>
      <c r="D14" s="10">
        <v>4</v>
      </c>
      <c r="E14" s="6">
        <v>331.11</v>
      </c>
      <c r="F14" s="6">
        <v>328.3</v>
      </c>
      <c r="G14" s="11">
        <v>-9.8037252719365368E-3</v>
      </c>
      <c r="H14">
        <v>0.5</v>
      </c>
      <c r="I14" s="12">
        <v>2.9605469485040503E-2</v>
      </c>
      <c r="J14" s="12">
        <v>-8.5719059819538757E-2</v>
      </c>
    </row>
    <row r="15" spans="1:10" x14ac:dyDescent="0.25">
      <c r="A15" s="2" t="s">
        <v>78</v>
      </c>
      <c r="B15" s="3">
        <v>932.4</v>
      </c>
      <c r="C15" s="4">
        <v>4.3565217391304314</v>
      </c>
      <c r="D15" s="10">
        <v>3</v>
      </c>
      <c r="E15" s="6">
        <v>233.1</v>
      </c>
      <c r="F15" s="6">
        <v>235.15</v>
      </c>
      <c r="G15" s="11">
        <v>-2.9486869030879648E-2</v>
      </c>
      <c r="H15">
        <v>0.5</v>
      </c>
      <c r="I15" s="12">
        <v>3.4308335166043591E-2</v>
      </c>
      <c r="J15" s="12">
        <v>-8.9095487119891459E-2</v>
      </c>
    </row>
    <row r="16" spans="1:10" x14ac:dyDescent="0.25">
      <c r="A16" s="2" t="s">
        <v>79</v>
      </c>
      <c r="B16" s="3">
        <v>1010.56</v>
      </c>
      <c r="C16" s="4">
        <v>1.1428571428571441</v>
      </c>
      <c r="D16" s="10">
        <v>54</v>
      </c>
      <c r="E16" s="13">
        <v>63.16</v>
      </c>
      <c r="F16" s="13">
        <v>60.8</v>
      </c>
      <c r="G16" s="11">
        <v>-1.095466059729735E-2</v>
      </c>
      <c r="H16">
        <v>0.54</v>
      </c>
      <c r="I16" s="12">
        <v>1.6722408026755842E-2</v>
      </c>
      <c r="J16" s="12">
        <v>-9.2537313432835888E-2</v>
      </c>
    </row>
    <row r="17" spans="1:10" x14ac:dyDescent="0.25">
      <c r="A17" s="2" t="s">
        <v>80</v>
      </c>
      <c r="B17" s="3">
        <v>1005.6700000000001</v>
      </c>
      <c r="C17" s="4">
        <v>1.1578947368421038</v>
      </c>
      <c r="D17" s="10">
        <v>10</v>
      </c>
      <c r="E17" s="6">
        <v>12.73</v>
      </c>
      <c r="F17" s="6">
        <v>12.49</v>
      </c>
      <c r="G17" s="11">
        <v>-2.0428790259315877E-3</v>
      </c>
      <c r="H17">
        <v>0.5</v>
      </c>
      <c r="I17" s="12">
        <v>6.0271646859083372E-2</v>
      </c>
      <c r="J17" s="12">
        <v>-9.6890817064352874E-2</v>
      </c>
    </row>
    <row r="18" spans="1:10" x14ac:dyDescent="0.25">
      <c r="A18" s="2" t="s">
        <v>81</v>
      </c>
      <c r="B18" s="3">
        <v>873.08</v>
      </c>
      <c r="C18" s="4">
        <v>7.7636363636363415</v>
      </c>
      <c r="D18" s="10">
        <v>3</v>
      </c>
      <c r="E18" s="13">
        <v>3.3580000000000001</v>
      </c>
      <c r="F18" s="13">
        <v>3.34</v>
      </c>
      <c r="G18" s="11">
        <v>-4.6795418191709626E-3</v>
      </c>
      <c r="H18">
        <v>0.5</v>
      </c>
      <c r="I18" s="12">
        <v>1.120193763245525E-2</v>
      </c>
      <c r="J18" s="12">
        <v>-0.11756935270805824</v>
      </c>
    </row>
    <row r="19" spans="1:10" x14ac:dyDescent="0.25">
      <c r="A19" s="2" t="s">
        <v>82</v>
      </c>
      <c r="B19" s="3">
        <v>997.44</v>
      </c>
      <c r="C19" s="4">
        <v>2.8216560509554132</v>
      </c>
      <c r="D19" s="10">
        <v>54</v>
      </c>
      <c r="E19" s="13">
        <v>15.585000000000001</v>
      </c>
      <c r="F19" s="13">
        <v>15.7</v>
      </c>
      <c r="G19" s="11">
        <v>-6.1296337248834872E-3</v>
      </c>
      <c r="H19">
        <v>0.56999999999999995</v>
      </c>
      <c r="I19" s="12">
        <v>6.0810810810810745E-2</v>
      </c>
      <c r="J19" s="12">
        <v>-0.11797752808988771</v>
      </c>
    </row>
    <row r="20" spans="1:10" x14ac:dyDescent="0.25">
      <c r="A20" s="2" t="s">
        <v>83</v>
      </c>
      <c r="B20" s="3">
        <v>1201.26</v>
      </c>
      <c r="C20" s="4">
        <v>4.4830835117772958</v>
      </c>
      <c r="D20" s="10">
        <v>3</v>
      </c>
      <c r="E20" s="6">
        <v>600.63</v>
      </c>
      <c r="F20" s="6">
        <v>620.25</v>
      </c>
      <c r="G20" s="11">
        <v>-8.5241822449508182E-3</v>
      </c>
      <c r="H20">
        <v>0.62</v>
      </c>
      <c r="I20" s="12">
        <v>7.4435282705099803E-2</v>
      </c>
      <c r="J20" s="12">
        <v>-0.12059945272291606</v>
      </c>
    </row>
    <row r="21" spans="1:10" x14ac:dyDescent="0.25">
      <c r="A21" s="2" t="s">
        <v>84</v>
      </c>
      <c r="B21" s="3">
        <v>1042.29</v>
      </c>
      <c r="C21" s="4">
        <v>3.1666666666666732</v>
      </c>
      <c r="D21" s="10">
        <v>53</v>
      </c>
      <c r="E21" s="13">
        <v>3.13</v>
      </c>
      <c r="F21" s="13">
        <v>3.24</v>
      </c>
      <c r="G21" s="11">
        <v>-5.4422266095812914E-3</v>
      </c>
      <c r="H21">
        <v>0.55000000000000004</v>
      </c>
      <c r="I21" s="12">
        <v>9.8305084745762716E-2</v>
      </c>
      <c r="J21" s="12">
        <v>-0.12432432432432428</v>
      </c>
    </row>
    <row r="22" spans="1:10" x14ac:dyDescent="0.25">
      <c r="A22" s="2" t="s">
        <v>85</v>
      </c>
      <c r="B22" s="3">
        <v>1064.99</v>
      </c>
      <c r="C22" s="4">
        <v>1.9289898556936702</v>
      </c>
      <c r="D22" s="10">
        <v>15</v>
      </c>
      <c r="E22" s="6">
        <v>1064.99</v>
      </c>
      <c r="F22" s="6">
        <v>1038.4000000000001</v>
      </c>
      <c r="G22" s="11">
        <v>-5.9632716610349855E-3</v>
      </c>
      <c r="H22">
        <v>0.63</v>
      </c>
      <c r="I22" s="12">
        <v>4.3618090452261393E-2</v>
      </c>
      <c r="J22" s="12">
        <v>-0.1346666666666666</v>
      </c>
    </row>
    <row r="23" spans="1:10" x14ac:dyDescent="0.25">
      <c r="A23" s="2" t="s">
        <v>86</v>
      </c>
      <c r="B23" s="3">
        <v>937.60400000000004</v>
      </c>
      <c r="C23" s="4">
        <v>2.0227272727272698</v>
      </c>
      <c r="D23" s="10">
        <v>3</v>
      </c>
      <c r="E23" s="6">
        <v>0.628</v>
      </c>
      <c r="F23" s="6">
        <v>0.62</v>
      </c>
      <c r="G23" s="11">
        <v>-6.2483998975934709E-3</v>
      </c>
      <c r="H23">
        <v>0.5</v>
      </c>
      <c r="I23" s="12">
        <v>6.164383561643838E-2</v>
      </c>
      <c r="J23" s="12">
        <v>-0.13528591352859132</v>
      </c>
    </row>
    <row r="24" spans="1:10" x14ac:dyDescent="0.25">
      <c r="A24" s="2" t="s">
        <v>87</v>
      </c>
      <c r="B24" s="3">
        <v>1073.28</v>
      </c>
      <c r="C24" s="4">
        <v>1.4238227146814408</v>
      </c>
      <c r="D24" s="10">
        <v>54</v>
      </c>
      <c r="E24" s="13">
        <v>178.88</v>
      </c>
      <c r="F24" s="13">
        <v>186.23</v>
      </c>
      <c r="G24" s="11">
        <v>1.3520439842492848E-3</v>
      </c>
      <c r="H24">
        <v>0.57999999999999996</v>
      </c>
      <c r="I24" s="12">
        <v>0.24153333333333316</v>
      </c>
      <c r="J24" s="12">
        <v>-0.15350000000000008</v>
      </c>
    </row>
    <row r="25" spans="1:10" x14ac:dyDescent="0.25">
      <c r="A25" s="2" t="s">
        <v>88</v>
      </c>
      <c r="B25" s="3">
        <v>2071.98</v>
      </c>
      <c r="C25" s="4">
        <v>2.4388024439213472</v>
      </c>
      <c r="D25" s="10">
        <v>8.5</v>
      </c>
      <c r="E25" s="13">
        <v>172.66500000000002</v>
      </c>
      <c r="F25" s="13">
        <v>170.96</v>
      </c>
      <c r="G25" s="11">
        <v>-8.2294891524271156E-3</v>
      </c>
      <c r="H25">
        <v>1.1000000000000001</v>
      </c>
      <c r="I25" s="12">
        <v>9.2068812234008535E-2</v>
      </c>
      <c r="J25" s="12">
        <v>-0.16199699905170029</v>
      </c>
    </row>
    <row r="26" spans="1:10" x14ac:dyDescent="0.25">
      <c r="A26" s="2" t="s">
        <v>89</v>
      </c>
      <c r="B26" s="3">
        <v>895.4</v>
      </c>
      <c r="C26" s="4">
        <v>3.9494403705133196</v>
      </c>
      <c r="D26" s="10">
        <v>1</v>
      </c>
      <c r="E26" s="6">
        <v>447.7</v>
      </c>
      <c r="F26" s="6">
        <v>453.88</v>
      </c>
      <c r="G26" s="11">
        <v>-4.3649584357347447E-3</v>
      </c>
      <c r="H26">
        <v>0.56999999999999995</v>
      </c>
      <c r="I26" s="12">
        <v>7.6080513999857713E-2</v>
      </c>
      <c r="J26" s="12">
        <v>-0.17480864680108354</v>
      </c>
    </row>
    <row r="27" spans="1:10" x14ac:dyDescent="0.25">
      <c r="A27" s="2" t="s">
        <v>90</v>
      </c>
      <c r="B27" s="3">
        <v>1016.95</v>
      </c>
      <c r="C27" s="4">
        <v>1.8700787401574797</v>
      </c>
      <c r="D27" s="10">
        <v>5</v>
      </c>
      <c r="E27" s="6">
        <v>92.45</v>
      </c>
      <c r="F27" s="6">
        <v>92.6</v>
      </c>
      <c r="G27" s="11">
        <v>2.0777945112482542E-3</v>
      </c>
      <c r="H27" t="e">
        <v>#N/A</v>
      </c>
      <c r="I27" s="12">
        <v>0.16112852664576804</v>
      </c>
      <c r="J27" s="12">
        <v>-0.20309810671256456</v>
      </c>
    </row>
    <row r="28" spans="1:10" x14ac:dyDescent="0.25">
      <c r="A28" s="2" t="s">
        <v>91</v>
      </c>
      <c r="B28" s="3">
        <v>1000.8</v>
      </c>
      <c r="C28" s="4">
        <v>2</v>
      </c>
      <c r="D28" s="10">
        <v>18</v>
      </c>
      <c r="E28" s="6">
        <v>2.4</v>
      </c>
      <c r="F28" s="6">
        <v>2.4700000000000002</v>
      </c>
      <c r="G28" s="11">
        <v>-6.20965967202487E-3</v>
      </c>
      <c r="H28">
        <v>0.5</v>
      </c>
      <c r="I28" s="12">
        <v>0.20487804878048799</v>
      </c>
      <c r="J28" s="12">
        <v>-0.20322580645161281</v>
      </c>
    </row>
    <row r="29" spans="1:10" x14ac:dyDescent="0.25">
      <c r="A29" s="2" t="s">
        <v>92</v>
      </c>
      <c r="B29" s="3">
        <v>999.96999999999991</v>
      </c>
      <c r="C29" s="4">
        <v>1.7294117647058829</v>
      </c>
      <c r="D29" s="10">
        <v>5</v>
      </c>
      <c r="E29" s="6">
        <v>3.61</v>
      </c>
      <c r="F29" s="6">
        <v>3.35</v>
      </c>
      <c r="G29" s="11">
        <v>-1.2867497575734532E-2</v>
      </c>
      <c r="H29">
        <v>0.5</v>
      </c>
      <c r="I29" s="12">
        <v>5.180533751962324E-2</v>
      </c>
      <c r="J29" s="12">
        <v>-0.22899884925201375</v>
      </c>
    </row>
    <row r="30" spans="1:10" x14ac:dyDescent="0.25">
      <c r="A30" s="2" t="s">
        <v>93</v>
      </c>
      <c r="B30" s="3">
        <v>834.92499999999995</v>
      </c>
      <c r="C30" s="4">
        <v>1.4906832298136643</v>
      </c>
      <c r="D30" s="10">
        <v>40</v>
      </c>
      <c r="E30" s="13">
        <v>0.36699999999999999</v>
      </c>
      <c r="F30" s="13">
        <v>0.36</v>
      </c>
      <c r="G30" s="11">
        <v>-5.255255255255253E-3</v>
      </c>
      <c r="H30">
        <v>0.48</v>
      </c>
      <c r="I30" s="12">
        <v>0.25654450261780104</v>
      </c>
      <c r="J30" s="12">
        <v>-0.26078028747433268</v>
      </c>
    </row>
    <row r="31" spans="1:10" x14ac:dyDescent="0.25">
      <c r="A31" s="2" t="s">
        <v>94</v>
      </c>
      <c r="B31" s="3">
        <v>1018.72</v>
      </c>
      <c r="C31" s="4">
        <v>7.3507692307692292</v>
      </c>
      <c r="D31" s="10">
        <v>5</v>
      </c>
      <c r="E31" s="6">
        <v>127.34</v>
      </c>
      <c r="F31" s="6">
        <v>119.02</v>
      </c>
      <c r="G31" s="11">
        <v>-1.33861334331133E-2</v>
      </c>
      <c r="H31">
        <v>0.56000000000000005</v>
      </c>
      <c r="I31" s="12">
        <v>1.2160898035547207E-2</v>
      </c>
      <c r="J31" s="12">
        <v>-0.40193960102507409</v>
      </c>
    </row>
    <row r="32" spans="1:10" x14ac:dyDescent="0.25">
      <c r="A32" s="2" t="s">
        <v>59</v>
      </c>
      <c r="B32" s="3">
        <v>28967.111000000004</v>
      </c>
      <c r="C32" s="4">
        <v>3.0710211721181757</v>
      </c>
      <c r="D32" s="10">
        <v>17</v>
      </c>
      <c r="E32" s="6">
        <v>130.24544827586209</v>
      </c>
      <c r="F32" s="6">
        <v>130.11689655172415</v>
      </c>
      <c r="G32" s="8">
        <v>-4.7786172512337376E-3</v>
      </c>
      <c r="H32" t="e">
        <v>#N/A</v>
      </c>
      <c r="I32" s="7">
        <v>7.7436487139989449E-2</v>
      </c>
      <c r="J32" s="7">
        <v>-0.12008558112522043</v>
      </c>
    </row>
  </sheetData>
  <conditionalFormatting pivot="1" sqref="D4:D3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G10:G11 G16 G18:G19 G21 G24:G25 G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10:I11 I16 I18:I19 I21 I24 I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10:J11 J16 J18:J19 J21 J24 J30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H10:H11 H16 H18:H19 H21 H24 H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8C66-DFB8-48F8-AE5C-874B646EB0B2}">
  <sheetPr>
    <tabColor theme="5" tint="0.59999389629810485"/>
  </sheetPr>
  <dimension ref="A2:O29"/>
  <sheetViews>
    <sheetView workbookViewId="0">
      <selection activeCell="A29" sqref="A29:XFD29"/>
    </sheetView>
  </sheetViews>
  <sheetFormatPr baseColWidth="10" defaultColWidth="11.42578125" defaultRowHeight="15" x14ac:dyDescent="0.25"/>
  <cols>
    <col min="1" max="1" width="22.5703125" bestFit="1" customWidth="1"/>
    <col min="2" max="2" width="22.42578125" bestFit="1" customWidth="1"/>
    <col min="3" max="6" width="7.28515625" bestFit="1" customWidth="1"/>
    <col min="7" max="7" width="7.5703125" bestFit="1" customWidth="1"/>
    <col min="8" max="8" width="7.28515625" bestFit="1" customWidth="1"/>
    <col min="9" max="9" width="6.140625" bestFit="1" customWidth="1"/>
    <col min="10" max="10" width="7.28515625" bestFit="1" customWidth="1"/>
    <col min="11" max="11" width="6.140625" bestFit="1" customWidth="1"/>
    <col min="12" max="13" width="7.28515625" bestFit="1" customWidth="1"/>
    <col min="14" max="14" width="6.42578125" bestFit="1" customWidth="1"/>
    <col min="15" max="15" width="12.5703125" bestFit="1" customWidth="1"/>
    <col min="16" max="16" width="7.85546875" bestFit="1" customWidth="1"/>
    <col min="17" max="17" width="5.7109375" bestFit="1" customWidth="1"/>
    <col min="18" max="18" width="6.5703125" bestFit="1" customWidth="1"/>
    <col min="19" max="20" width="7.85546875" bestFit="1" customWidth="1"/>
    <col min="21" max="21" width="5.7109375" bestFit="1" customWidth="1"/>
    <col min="22" max="22" width="6.5703125" bestFit="1" customWidth="1"/>
    <col min="23" max="23" width="11.7109375" bestFit="1" customWidth="1"/>
    <col min="24" max="24" width="25.7109375" bestFit="1" customWidth="1"/>
    <col min="25" max="25" width="20.7109375" bestFit="1" customWidth="1"/>
    <col min="26" max="26" width="21" bestFit="1" customWidth="1"/>
    <col min="27" max="27" width="20.7109375" bestFit="1" customWidth="1"/>
    <col min="28" max="28" width="21" bestFit="1" customWidth="1"/>
    <col min="29" max="29" width="20.7109375" bestFit="1" customWidth="1"/>
    <col min="30" max="30" width="21" bestFit="1" customWidth="1"/>
    <col min="31" max="31" width="20.7109375" bestFit="1" customWidth="1"/>
    <col min="32" max="32" width="21" bestFit="1" customWidth="1"/>
    <col min="33" max="33" width="20.7109375" bestFit="1" customWidth="1"/>
    <col min="34" max="34" width="21" bestFit="1" customWidth="1"/>
    <col min="35" max="35" width="20.7109375" bestFit="1" customWidth="1"/>
    <col min="36" max="36" width="31" bestFit="1" customWidth="1"/>
    <col min="37" max="37" width="30.7109375" bestFit="1" customWidth="1"/>
    <col min="38" max="38" width="25.7109375" bestFit="1" customWidth="1"/>
    <col min="39" max="39" width="25.42578125" bestFit="1" customWidth="1"/>
    <col min="40" max="40" width="12.140625" bestFit="1" customWidth="1"/>
    <col min="41" max="41" width="14.85546875" bestFit="1" customWidth="1"/>
    <col min="42" max="42" width="12.140625" bestFit="1" customWidth="1"/>
    <col min="43" max="43" width="14.85546875" bestFit="1" customWidth="1"/>
    <col min="44" max="44" width="12.140625" bestFit="1" customWidth="1"/>
    <col min="45" max="45" width="14.85546875" bestFit="1" customWidth="1"/>
    <col min="46" max="46" width="12.140625" bestFit="1" customWidth="1"/>
    <col min="47" max="47" width="14.85546875" bestFit="1" customWidth="1"/>
    <col min="48" max="48" width="12.140625" bestFit="1" customWidth="1"/>
    <col min="49" max="49" width="14.85546875" bestFit="1" customWidth="1"/>
    <col min="50" max="50" width="11.7109375" bestFit="1" customWidth="1"/>
    <col min="51" max="54" width="10.28515625" bestFit="1" customWidth="1"/>
    <col min="55" max="55" width="14.7109375" bestFit="1" customWidth="1"/>
    <col min="56" max="56" width="23.42578125" bestFit="1" customWidth="1"/>
    <col min="57" max="57" width="23.5703125" bestFit="1" customWidth="1"/>
    <col min="58" max="58" width="25.7109375" bestFit="1" customWidth="1"/>
    <col min="59" max="59" width="14.85546875" bestFit="1" customWidth="1"/>
    <col min="60" max="60" width="12.140625" bestFit="1" customWidth="1"/>
    <col min="61" max="61" width="14.85546875" bestFit="1" customWidth="1"/>
    <col min="62" max="62" width="12.140625" bestFit="1" customWidth="1"/>
    <col min="63" max="63" width="14.85546875" bestFit="1" customWidth="1"/>
    <col min="64" max="64" width="12.140625" bestFit="1" customWidth="1"/>
    <col min="65" max="65" width="14.85546875" bestFit="1" customWidth="1"/>
    <col min="66" max="66" width="12.140625" bestFit="1" customWidth="1"/>
    <col min="67" max="67" width="14.85546875" bestFit="1" customWidth="1"/>
    <col min="68" max="68" width="11.7109375" bestFit="1" customWidth="1"/>
    <col min="69" max="72" width="10.28515625" bestFit="1" customWidth="1"/>
    <col min="73" max="73" width="14.7109375" bestFit="1" customWidth="1"/>
    <col min="74" max="74" width="21.42578125" bestFit="1" customWidth="1"/>
    <col min="75" max="75" width="23.42578125" bestFit="1" customWidth="1"/>
    <col min="76" max="76" width="23.5703125" bestFit="1" customWidth="1"/>
    <col min="77" max="77" width="25.7109375" bestFit="1" customWidth="1"/>
  </cols>
  <sheetData>
    <row r="2" spans="1:15" x14ac:dyDescent="0.25">
      <c r="A2" t="s">
        <v>0</v>
      </c>
      <c r="B2" t="s">
        <v>95</v>
      </c>
    </row>
    <row r="4" spans="1:15" x14ac:dyDescent="0.25">
      <c r="A4" t="s">
        <v>96</v>
      </c>
      <c r="B4" t="s">
        <v>97</v>
      </c>
    </row>
    <row r="5" spans="1:15" x14ac:dyDescent="0.25">
      <c r="A5" t="s">
        <v>4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 t="s">
        <v>110</v>
      </c>
      <c r="O5" t="s">
        <v>59</v>
      </c>
    </row>
    <row r="6" spans="1:15" x14ac:dyDescent="0.25">
      <c r="A6" s="14">
        <v>46001</v>
      </c>
      <c r="B6" s="9">
        <v>0.17900353663833235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>
        <v>0.17900353663833235</v>
      </c>
    </row>
    <row r="7" spans="1:15" x14ac:dyDescent="0.25">
      <c r="A7" s="15">
        <v>16</v>
      </c>
      <c r="B7" s="9">
        <v>0.17900353663833235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>
        <v>0.17900353663833235</v>
      </c>
    </row>
    <row r="8" spans="1:15" x14ac:dyDescent="0.25">
      <c r="A8" s="14">
        <v>46007</v>
      </c>
      <c r="B8" s="9"/>
      <c r="C8" s="9">
        <v>0.14097279472382507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>
        <v>0.14097279472382507</v>
      </c>
    </row>
    <row r="9" spans="1:15" x14ac:dyDescent="0.25">
      <c r="A9" s="15">
        <v>22</v>
      </c>
      <c r="B9" s="9"/>
      <c r="C9" s="9">
        <v>0.14097279472382507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>
        <v>0.14097279472382507</v>
      </c>
    </row>
    <row r="10" spans="1:15" x14ac:dyDescent="0.25">
      <c r="A10" s="14">
        <v>46013</v>
      </c>
      <c r="B10" s="9"/>
      <c r="C10" s="9"/>
      <c r="D10" s="9"/>
      <c r="E10" s="9">
        <v>0.13427762039660063</v>
      </c>
      <c r="F10" s="9"/>
      <c r="G10" s="9"/>
      <c r="H10" s="9"/>
      <c r="I10" s="9"/>
      <c r="J10" s="9"/>
      <c r="K10" s="9"/>
      <c r="L10" s="9"/>
      <c r="M10" s="9"/>
      <c r="N10" s="9"/>
      <c r="O10" s="9">
        <v>0.13427762039660063</v>
      </c>
    </row>
    <row r="11" spans="1:15" x14ac:dyDescent="0.25">
      <c r="A11" s="15">
        <v>33</v>
      </c>
      <c r="B11" s="9"/>
      <c r="C11" s="9"/>
      <c r="D11" s="9"/>
      <c r="E11" s="9">
        <v>0.13427762039660063</v>
      </c>
      <c r="F11" s="9"/>
      <c r="G11" s="9"/>
      <c r="H11" s="9"/>
      <c r="I11" s="9"/>
      <c r="J11" s="9"/>
      <c r="K11" s="9"/>
      <c r="L11" s="9"/>
      <c r="M11" s="9"/>
      <c r="N11" s="9"/>
      <c r="O11" s="9">
        <v>0.13427762039660063</v>
      </c>
    </row>
    <row r="12" spans="1:15" x14ac:dyDescent="0.25">
      <c r="A12" s="14">
        <v>46014</v>
      </c>
      <c r="B12" s="9"/>
      <c r="C12" s="9"/>
      <c r="D12" s="9">
        <v>0.11526946107784429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>
        <v>0.11526946107784429</v>
      </c>
    </row>
    <row r="13" spans="1:15" x14ac:dyDescent="0.25">
      <c r="A13" s="15">
        <v>34</v>
      </c>
      <c r="B13" s="9"/>
      <c r="C13" s="9"/>
      <c r="D13" s="9">
        <v>0.11526946107784429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>
        <v>0.11526946107784429</v>
      </c>
    </row>
    <row r="14" spans="1:15" x14ac:dyDescent="0.25">
      <c r="A14" s="14">
        <v>46015</v>
      </c>
      <c r="B14" s="9"/>
      <c r="C14" s="9"/>
      <c r="D14" s="9"/>
      <c r="E14" s="9"/>
      <c r="F14" s="9">
        <v>0.26099706744868029</v>
      </c>
      <c r="G14" s="9"/>
      <c r="H14" s="9"/>
      <c r="I14" s="9"/>
      <c r="J14" s="9"/>
      <c r="K14" s="9"/>
      <c r="L14" s="9"/>
      <c r="M14" s="9"/>
      <c r="N14" s="9"/>
      <c r="O14" s="9">
        <v>0.26099706744868029</v>
      </c>
    </row>
    <row r="15" spans="1:15" x14ac:dyDescent="0.25">
      <c r="A15" s="15">
        <v>26</v>
      </c>
      <c r="B15" s="9"/>
      <c r="C15" s="9"/>
      <c r="D15" s="9"/>
      <c r="E15" s="9"/>
      <c r="F15" s="9">
        <v>0.26099706744868029</v>
      </c>
      <c r="G15" s="9"/>
      <c r="H15" s="9"/>
      <c r="I15" s="9"/>
      <c r="J15" s="9"/>
      <c r="K15" s="9"/>
      <c r="L15" s="9"/>
      <c r="M15" s="9"/>
      <c r="N15" s="9"/>
      <c r="O15" s="9">
        <v>0.26099706744868029</v>
      </c>
    </row>
    <row r="16" spans="1:15" x14ac:dyDescent="0.25">
      <c r="A16" s="14">
        <v>46027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>
        <v>0.1669687358405075</v>
      </c>
      <c r="M16" s="9"/>
      <c r="N16" s="9"/>
      <c r="O16" s="9">
        <v>0.1669687358405075</v>
      </c>
    </row>
    <row r="17" spans="1:15" x14ac:dyDescent="0.25">
      <c r="A17" s="15">
        <v>45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>
        <v>0.1669687358405075</v>
      </c>
      <c r="M17" s="9"/>
      <c r="N17" s="9"/>
      <c r="O17" s="9">
        <v>0.1669687358405075</v>
      </c>
    </row>
    <row r="18" spans="1:15" x14ac:dyDescent="0.25">
      <c r="A18" s="14">
        <v>46030</v>
      </c>
      <c r="B18" s="9"/>
      <c r="C18" s="9"/>
      <c r="D18" s="9"/>
      <c r="E18" s="9"/>
      <c r="F18" s="9"/>
      <c r="G18" s="9">
        <v>0.17647058823529413</v>
      </c>
      <c r="H18" s="9">
        <v>0.19787449392712547</v>
      </c>
      <c r="I18" s="9"/>
      <c r="J18" s="9">
        <v>0.32567388422448079</v>
      </c>
      <c r="K18" s="9">
        <v>2.8680283627897218E-2</v>
      </c>
      <c r="L18" s="9"/>
      <c r="M18" s="9"/>
      <c r="N18" s="9"/>
      <c r="O18" s="9">
        <v>0.18217481250369938</v>
      </c>
    </row>
    <row r="19" spans="1:15" x14ac:dyDescent="0.25">
      <c r="A19" s="15">
        <v>1</v>
      </c>
      <c r="B19" s="9"/>
      <c r="C19" s="9"/>
      <c r="D19" s="9"/>
      <c r="E19" s="9"/>
      <c r="F19" s="9"/>
      <c r="G19" s="9"/>
      <c r="H19" s="9"/>
      <c r="I19" s="9"/>
      <c r="J19" s="9"/>
      <c r="K19" s="9">
        <v>2.8680283627897218E-2</v>
      </c>
      <c r="L19" s="9"/>
      <c r="M19" s="9"/>
      <c r="N19" s="9"/>
      <c r="O19" s="9">
        <v>2.8680283627897218E-2</v>
      </c>
    </row>
    <row r="20" spans="1:15" x14ac:dyDescent="0.25">
      <c r="A20" s="15">
        <v>9</v>
      </c>
      <c r="B20" s="9"/>
      <c r="C20" s="9"/>
      <c r="D20" s="9"/>
      <c r="E20" s="9"/>
      <c r="F20" s="9"/>
      <c r="G20" s="9">
        <v>0.17647058823529413</v>
      </c>
      <c r="H20" s="9"/>
      <c r="I20" s="9"/>
      <c r="J20" s="9"/>
      <c r="K20" s="9"/>
      <c r="L20" s="9"/>
      <c r="M20" s="9"/>
      <c r="N20" s="9"/>
      <c r="O20" s="9">
        <v>0.17647058823529413</v>
      </c>
    </row>
    <row r="21" spans="1:15" x14ac:dyDescent="0.25">
      <c r="A21" s="15">
        <v>29</v>
      </c>
      <c r="B21" s="9"/>
      <c r="C21" s="9"/>
      <c r="D21" s="9"/>
      <c r="E21" s="9"/>
      <c r="F21" s="9"/>
      <c r="G21" s="9"/>
      <c r="H21" s="9">
        <v>0.19787449392712547</v>
      </c>
      <c r="I21" s="9"/>
      <c r="J21" s="9"/>
      <c r="K21" s="9"/>
      <c r="L21" s="9"/>
      <c r="M21" s="9"/>
      <c r="N21" s="9"/>
      <c r="O21" s="9">
        <v>0.19787449392712547</v>
      </c>
    </row>
    <row r="22" spans="1:15" x14ac:dyDescent="0.25">
      <c r="A22" s="15">
        <v>43</v>
      </c>
      <c r="B22" s="9"/>
      <c r="C22" s="9"/>
      <c r="D22" s="9"/>
      <c r="E22" s="9"/>
      <c r="F22" s="9"/>
      <c r="G22" s="9"/>
      <c r="H22" s="9"/>
      <c r="I22" s="9"/>
      <c r="J22" s="9">
        <v>0.32567388422448079</v>
      </c>
      <c r="K22" s="9"/>
      <c r="L22" s="9"/>
      <c r="M22" s="9"/>
      <c r="N22" s="9"/>
      <c r="O22" s="9">
        <v>0.32567388422448079</v>
      </c>
    </row>
    <row r="23" spans="1:15" x14ac:dyDescent="0.25">
      <c r="A23" s="14">
        <v>46031</v>
      </c>
      <c r="B23" s="9"/>
      <c r="C23" s="9"/>
      <c r="D23" s="9"/>
      <c r="E23" s="9"/>
      <c r="F23" s="9"/>
      <c r="G23" s="9"/>
      <c r="H23" s="9"/>
      <c r="I23" s="9">
        <v>7.0405911633396615E-2</v>
      </c>
      <c r="J23" s="9"/>
      <c r="K23" s="9"/>
      <c r="L23" s="9"/>
      <c r="M23" s="9"/>
      <c r="N23" s="9"/>
      <c r="O23" s="9">
        <v>7.0405911633396615E-2</v>
      </c>
    </row>
    <row r="24" spans="1:15" x14ac:dyDescent="0.25">
      <c r="A24" s="15">
        <v>4</v>
      </c>
      <c r="B24" s="9"/>
      <c r="C24" s="9"/>
      <c r="D24" s="9"/>
      <c r="E24" s="9"/>
      <c r="F24" s="9"/>
      <c r="G24" s="9"/>
      <c r="H24" s="9"/>
      <c r="I24" s="9">
        <v>7.0405911633396615E-2</v>
      </c>
      <c r="J24" s="9"/>
      <c r="K24" s="9"/>
      <c r="L24" s="9"/>
      <c r="M24" s="9"/>
      <c r="N24" s="9"/>
      <c r="O24" s="9">
        <v>7.0405911633396615E-2</v>
      </c>
    </row>
    <row r="25" spans="1:15" x14ac:dyDescent="0.25">
      <c r="A25" s="14">
        <v>46034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>
        <v>0.20561337117628509</v>
      </c>
      <c r="N25" s="9"/>
      <c r="O25" s="9">
        <v>0.20561337117628509</v>
      </c>
    </row>
    <row r="26" spans="1:15" x14ac:dyDescent="0.25">
      <c r="A26" s="15">
        <v>33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>
        <v>0.20561337117628509</v>
      </c>
      <c r="N26" s="9"/>
      <c r="O26" s="9">
        <v>0.20561337117628509</v>
      </c>
    </row>
    <row r="27" spans="1:15" x14ac:dyDescent="0.25">
      <c r="A27" s="14">
        <v>46036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>
        <v>6.6002949852507334E-2</v>
      </c>
      <c r="O27" s="9">
        <v>6.6002949852507334E-2</v>
      </c>
    </row>
    <row r="28" spans="1:15" x14ac:dyDescent="0.25">
      <c r="A28" s="15">
        <v>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>
        <v>6.6002949852507334E-2</v>
      </c>
      <c r="O28" s="9">
        <v>6.6002949852507334E-2</v>
      </c>
    </row>
    <row r="29" spans="1:15" x14ac:dyDescent="0.25">
      <c r="A29" s="2" t="s">
        <v>59</v>
      </c>
      <c r="B29" s="9">
        <v>0.17900353663833235</v>
      </c>
      <c r="C29" s="9">
        <v>0.14097279472382507</v>
      </c>
      <c r="D29" s="9">
        <v>0.11526946107784429</v>
      </c>
      <c r="E29" s="9">
        <v>0.13427762039660063</v>
      </c>
      <c r="F29" s="9">
        <v>0.26099706744868029</v>
      </c>
      <c r="G29" s="9">
        <v>0.17647058823529413</v>
      </c>
      <c r="H29" s="9">
        <v>0.19787449392712547</v>
      </c>
      <c r="I29" s="9">
        <v>7.0405911633396615E-2</v>
      </c>
      <c r="J29" s="9">
        <v>0.32567388422448079</v>
      </c>
      <c r="K29" s="9">
        <v>2.8680283627897218E-2</v>
      </c>
      <c r="L29" s="9">
        <v>0.1669687358405075</v>
      </c>
      <c r="M29" s="9">
        <v>0.20561337117628509</v>
      </c>
      <c r="N29" s="9">
        <v>6.6002949852507334E-2</v>
      </c>
      <c r="O29" s="9">
        <v>0.15909313067713671</v>
      </c>
    </row>
  </sheetData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2411-DE61-423E-BD08-017EF91B315C}">
  <sheetPr>
    <tabColor theme="5" tint="0.59999389629810485"/>
  </sheetPr>
  <dimension ref="A1:I50"/>
  <sheetViews>
    <sheetView workbookViewId="0">
      <selection activeCell="A47" sqref="A47:XFD47"/>
    </sheetView>
  </sheetViews>
  <sheetFormatPr baseColWidth="10" defaultColWidth="11.42578125" defaultRowHeight="15" x14ac:dyDescent="0.25"/>
  <cols>
    <col min="1" max="1" width="17.5703125" bestFit="1" customWidth="1"/>
    <col min="2" max="2" width="19.42578125" bestFit="1" customWidth="1"/>
    <col min="3" max="3" width="17.5703125" bestFit="1" customWidth="1"/>
    <col min="4" max="4" width="21.42578125" bestFit="1" customWidth="1"/>
    <col min="5" max="5" width="15" bestFit="1" customWidth="1"/>
    <col min="6" max="6" width="20.140625" bestFit="1" customWidth="1"/>
    <col min="7" max="7" width="47.140625" bestFit="1" customWidth="1"/>
    <col min="8" max="8" width="18.140625" bestFit="1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G1" t="s">
        <v>2</v>
      </c>
    </row>
    <row r="2" spans="1:9" x14ac:dyDescent="0.25">
      <c r="G2" t="s">
        <v>3</v>
      </c>
    </row>
    <row r="3" spans="1:9" x14ac:dyDescent="0.25">
      <c r="A3" t="s">
        <v>4</v>
      </c>
      <c r="B3" s="1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</row>
    <row r="4" spans="1:9" x14ac:dyDescent="0.25">
      <c r="A4" s="2" t="s">
        <v>13</v>
      </c>
      <c r="B4" s="3">
        <v>933.48</v>
      </c>
      <c r="C4" s="4">
        <v>6.3903252710592113</v>
      </c>
      <c r="D4" s="5">
        <v>46027</v>
      </c>
      <c r="E4" s="6">
        <v>466.74</v>
      </c>
      <c r="F4" s="6">
        <v>459.86</v>
      </c>
      <c r="G4" s="7">
        <v>-1.4740540772164357E-2</v>
      </c>
      <c r="H4" s="8">
        <v>-8.0353059760932769E-3</v>
      </c>
      <c r="I4" s="9">
        <v>0.66</v>
      </c>
    </row>
    <row r="5" spans="1:9" x14ac:dyDescent="0.25">
      <c r="A5" s="2" t="s">
        <v>14</v>
      </c>
      <c r="B5" s="3">
        <v>997.55000000000007</v>
      </c>
      <c r="C5" s="4">
        <v>2.2499999999999942</v>
      </c>
      <c r="D5" s="5">
        <v>46024</v>
      </c>
      <c r="E5" s="6">
        <v>14.05</v>
      </c>
      <c r="F5" s="6">
        <v>13.98</v>
      </c>
      <c r="G5" s="7">
        <v>-4.982206405694023E-3</v>
      </c>
      <c r="H5" s="8">
        <v>-4.1363288551622187E-3</v>
      </c>
      <c r="I5" s="9">
        <v>0.5</v>
      </c>
    </row>
    <row r="6" spans="1:9" x14ac:dyDescent="0.25">
      <c r="A6" s="2" t="s">
        <v>15</v>
      </c>
      <c r="B6" s="3">
        <v>1011.01</v>
      </c>
      <c r="C6" s="4">
        <v>4.9926470588235361</v>
      </c>
      <c r="D6" s="5">
        <v>46026</v>
      </c>
      <c r="E6" s="6">
        <v>77.77</v>
      </c>
      <c r="F6" s="6">
        <v>79</v>
      </c>
      <c r="G6" s="7">
        <v>1.5815867301015807E-2</v>
      </c>
      <c r="H6" s="8">
        <v>-4.4956739643745355E-3</v>
      </c>
      <c r="I6" s="9">
        <v>0.57999999999999996</v>
      </c>
    </row>
    <row r="7" spans="1:9" x14ac:dyDescent="0.25">
      <c r="A7" s="2" t="s">
        <v>16</v>
      </c>
      <c r="B7" s="3">
        <v>1038.433</v>
      </c>
      <c r="C7" s="4">
        <v>1.4424418604651141</v>
      </c>
      <c r="D7" s="5">
        <v>46029</v>
      </c>
      <c r="E7" s="6">
        <v>94.403000000000006</v>
      </c>
      <c r="F7" s="6">
        <v>96.02</v>
      </c>
      <c r="G7" s="7">
        <v>1.7128692944080148E-2</v>
      </c>
      <c r="H7" s="8">
        <v>-1.5791010871071265E-3</v>
      </c>
      <c r="I7" s="9">
        <v>0.5</v>
      </c>
    </row>
    <row r="8" spans="1:9" x14ac:dyDescent="0.25">
      <c r="A8" s="2" t="s">
        <v>17</v>
      </c>
      <c r="B8" s="3">
        <v>1003.6899999999999</v>
      </c>
      <c r="C8" s="4">
        <v>3.8000000000000065</v>
      </c>
      <c r="D8" s="5">
        <v>46024</v>
      </c>
      <c r="E8" s="6">
        <v>17.305</v>
      </c>
      <c r="F8" s="6">
        <v>17.77</v>
      </c>
      <c r="G8" s="7">
        <v>2.6870846576134033E-2</v>
      </c>
      <c r="H8" s="8">
        <v>3.9699200645858298E-3</v>
      </c>
      <c r="I8" s="9">
        <v>0.5</v>
      </c>
    </row>
    <row r="9" spans="1:9" x14ac:dyDescent="0.25">
      <c r="A9" s="2" t="s">
        <v>18</v>
      </c>
      <c r="B9" s="3">
        <v>1003.0799999999999</v>
      </c>
      <c r="C9" s="4">
        <v>3.7142857142857264</v>
      </c>
      <c r="D9" s="5">
        <v>46032</v>
      </c>
      <c r="E9" s="6">
        <v>12.86</v>
      </c>
      <c r="F9" s="6">
        <v>13.22</v>
      </c>
      <c r="G9" s="7">
        <v>2.7993779160186749E-2</v>
      </c>
      <c r="H9" s="8">
        <v>7.1661166031691259E-3</v>
      </c>
      <c r="I9" s="9">
        <v>0.5</v>
      </c>
    </row>
    <row r="10" spans="1:9" x14ac:dyDescent="0.25">
      <c r="A10" s="2" t="s">
        <v>19</v>
      </c>
      <c r="B10" s="3">
        <v>946.19999999999993</v>
      </c>
      <c r="C10" s="4">
        <v>2.333333333333337</v>
      </c>
      <c r="D10" s="5">
        <v>46035</v>
      </c>
      <c r="E10" s="6">
        <v>24.9</v>
      </c>
      <c r="F10" s="6">
        <v>25.7</v>
      </c>
      <c r="G10" s="7">
        <v>3.2128514056224855E-2</v>
      </c>
      <c r="H10" s="8">
        <v>2.4410664435816631E-3</v>
      </c>
      <c r="I10" s="9">
        <v>0.56999999999999995</v>
      </c>
    </row>
    <row r="11" spans="1:9" x14ac:dyDescent="0.25">
      <c r="A11" s="2" t="s">
        <v>20</v>
      </c>
      <c r="B11" s="3">
        <v>993.51</v>
      </c>
      <c r="C11" s="4">
        <v>3.6981132075471637</v>
      </c>
      <c r="D11" s="5">
        <v>46032</v>
      </c>
      <c r="E11" s="6">
        <v>17.43</v>
      </c>
      <c r="F11" s="6">
        <v>18</v>
      </c>
      <c r="G11" s="7">
        <v>3.2702237521514688E-2</v>
      </c>
      <c r="H11" s="8">
        <v>-8.136522785121336E-4</v>
      </c>
      <c r="I11" s="9">
        <v>0.5</v>
      </c>
    </row>
    <row r="12" spans="1:9" x14ac:dyDescent="0.25">
      <c r="A12" s="2" t="s">
        <v>21</v>
      </c>
      <c r="B12" s="3">
        <v>993.21999999999991</v>
      </c>
      <c r="C12" s="4">
        <v>4.2666666666666853</v>
      </c>
      <c r="D12" s="5">
        <v>46026</v>
      </c>
      <c r="E12" s="6">
        <v>18.739999999999998</v>
      </c>
      <c r="F12" s="6">
        <v>19.36</v>
      </c>
      <c r="G12" s="7">
        <v>3.3084311632870955E-2</v>
      </c>
      <c r="H12" s="8">
        <v>-1.3863111157797815E-3</v>
      </c>
      <c r="I12" s="9">
        <v>0.5</v>
      </c>
    </row>
    <row r="13" spans="1:9" x14ac:dyDescent="0.25">
      <c r="A13" s="2" t="s">
        <v>22</v>
      </c>
      <c r="B13" s="3">
        <v>1000.776</v>
      </c>
      <c r="C13" s="4">
        <v>1.8095238095238091</v>
      </c>
      <c r="D13" s="5">
        <v>46026</v>
      </c>
      <c r="E13" s="6">
        <v>3.8639999999999999</v>
      </c>
      <c r="F13" s="6">
        <v>4.0199999999999996</v>
      </c>
      <c r="G13" s="7">
        <v>4.0372670807453437E-2</v>
      </c>
      <c r="H13" s="8">
        <v>-4.0192427384957432E-4</v>
      </c>
      <c r="I13" s="9">
        <v>0.5</v>
      </c>
    </row>
    <row r="14" spans="1:9" x14ac:dyDescent="0.25">
      <c r="A14" s="2" t="s">
        <v>23</v>
      </c>
      <c r="B14" s="3">
        <v>1018.4399999999999</v>
      </c>
      <c r="C14" s="4">
        <v>4.2089552238806087</v>
      </c>
      <c r="D14" s="5">
        <v>46036</v>
      </c>
      <c r="E14" s="6">
        <v>56.58</v>
      </c>
      <c r="F14" s="6">
        <v>59.14</v>
      </c>
      <c r="G14" s="7">
        <v>4.5245669848002823E-2</v>
      </c>
      <c r="H14" s="8">
        <v>7.7997584654510678E-3</v>
      </c>
      <c r="I14" s="9" t="e">
        <v>#N/A</v>
      </c>
    </row>
    <row r="15" spans="1:9" x14ac:dyDescent="0.25">
      <c r="A15" s="2" t="s">
        <v>24</v>
      </c>
      <c r="B15" s="3">
        <v>1031.75</v>
      </c>
      <c r="C15" s="4">
        <v>3.7835051546391787</v>
      </c>
      <c r="D15" s="5">
        <v>46036</v>
      </c>
      <c r="E15" s="6">
        <v>206.35</v>
      </c>
      <c r="F15" s="6">
        <v>216.8</v>
      </c>
      <c r="G15" s="7">
        <v>5.0642112914950355E-2</v>
      </c>
      <c r="H15" s="8">
        <v>4.4039048080251052E-4</v>
      </c>
      <c r="I15" s="9" t="e">
        <v>#N/A</v>
      </c>
    </row>
    <row r="16" spans="1:9" x14ac:dyDescent="0.25">
      <c r="A16" s="2" t="s">
        <v>25</v>
      </c>
      <c r="B16" s="3">
        <v>910.36</v>
      </c>
      <c r="C16" s="4">
        <v>3.4970273483947691</v>
      </c>
      <c r="D16" s="5">
        <v>46027</v>
      </c>
      <c r="E16" s="6">
        <v>227.59</v>
      </c>
      <c r="F16" s="6">
        <v>239.12</v>
      </c>
      <c r="G16" s="7">
        <v>5.0661276857506987E-2</v>
      </c>
      <c r="H16" s="8">
        <v>-6.8759300697742278E-3</v>
      </c>
      <c r="I16" s="9">
        <v>0.63</v>
      </c>
    </row>
    <row r="17" spans="1:9" x14ac:dyDescent="0.25">
      <c r="A17" s="2" t="s">
        <v>26</v>
      </c>
      <c r="B17" s="3">
        <v>1006.335</v>
      </c>
      <c r="C17" s="4">
        <v>2.9696969696969613</v>
      </c>
      <c r="D17" s="5">
        <v>46026</v>
      </c>
      <c r="E17" s="6">
        <v>17.655000000000001</v>
      </c>
      <c r="F17" s="6">
        <v>18.57</v>
      </c>
      <c r="G17" s="7">
        <v>5.1826677994902148E-2</v>
      </c>
      <c r="H17" s="8">
        <v>1.1198435317757659E-3</v>
      </c>
      <c r="I17" s="9">
        <v>0.56999999999999995</v>
      </c>
    </row>
    <row r="18" spans="1:9" x14ac:dyDescent="0.25">
      <c r="A18" s="2" t="s">
        <v>27</v>
      </c>
      <c r="B18" s="3">
        <v>1278.4380000000001</v>
      </c>
      <c r="C18" s="4">
        <v>2.4561403508771882</v>
      </c>
      <c r="D18" s="5">
        <v>46033</v>
      </c>
      <c r="E18" s="6">
        <v>0.17080000000000001</v>
      </c>
      <c r="F18" s="6">
        <v>0.18</v>
      </c>
      <c r="G18" s="7">
        <v>5.3864168618266817E-2</v>
      </c>
      <c r="H18" s="8">
        <v>-1.0526315789473694E-2</v>
      </c>
      <c r="I18" s="9">
        <v>0.54</v>
      </c>
    </row>
    <row r="19" spans="1:9" x14ac:dyDescent="0.25">
      <c r="A19" s="2" t="s">
        <v>28</v>
      </c>
      <c r="B19" s="3">
        <v>937.37999999999988</v>
      </c>
      <c r="C19" s="4">
        <v>1.491981672394046</v>
      </c>
      <c r="D19" s="5">
        <v>46032</v>
      </c>
      <c r="E19" s="6">
        <v>312.45999999999998</v>
      </c>
      <c r="F19" s="6">
        <v>330.34</v>
      </c>
      <c r="G19" s="7">
        <v>5.7223324585546909E-2</v>
      </c>
      <c r="H19" s="8">
        <v>6.4025706755210804E-5</v>
      </c>
      <c r="I19" s="9">
        <v>0.64</v>
      </c>
    </row>
    <row r="20" spans="1:9" x14ac:dyDescent="0.25">
      <c r="A20" s="2" t="s">
        <v>29</v>
      </c>
      <c r="B20" s="3">
        <v>1088.0999999999999</v>
      </c>
      <c r="C20" s="4">
        <v>1.8172588832487326</v>
      </c>
      <c r="D20" s="5">
        <v>46032</v>
      </c>
      <c r="E20" s="6">
        <v>362.7</v>
      </c>
      <c r="F20" s="6">
        <v>386.2</v>
      </c>
      <c r="G20" s="7">
        <v>6.4791838985387429E-2</v>
      </c>
      <c r="H20" s="8">
        <v>1.1722527269961481E-3</v>
      </c>
      <c r="I20" s="9">
        <v>0.5</v>
      </c>
    </row>
    <row r="21" spans="1:9" x14ac:dyDescent="0.25">
      <c r="A21" s="2" t="s">
        <v>30</v>
      </c>
      <c r="B21" s="3">
        <v>944.9</v>
      </c>
      <c r="C21" s="4">
        <v>1.6407982261640843</v>
      </c>
      <c r="D21" s="5">
        <v>46033</v>
      </c>
      <c r="E21" s="6">
        <v>188.98</v>
      </c>
      <c r="F21" s="6">
        <v>201.92</v>
      </c>
      <c r="G21" s="7">
        <v>6.8472854270293038E-2</v>
      </c>
      <c r="H21" s="8">
        <v>1.1341946888905774E-2</v>
      </c>
      <c r="I21" s="9">
        <v>0.56000000000000005</v>
      </c>
    </row>
    <row r="22" spans="1:9" x14ac:dyDescent="0.25">
      <c r="A22" s="2" t="s">
        <v>31</v>
      </c>
      <c r="B22" s="3">
        <v>1401.75</v>
      </c>
      <c r="C22" s="4">
        <v>3.67741935483871</v>
      </c>
      <c r="D22" s="5">
        <v>46030</v>
      </c>
      <c r="E22" s="6">
        <v>6675</v>
      </c>
      <c r="F22" s="6">
        <v>7185</v>
      </c>
      <c r="G22" s="7">
        <v>7.640449438202257E-2</v>
      </c>
      <c r="H22" s="8">
        <v>1.8300924899757876E-3</v>
      </c>
      <c r="I22" s="9">
        <v>0.56000000000000005</v>
      </c>
    </row>
    <row r="23" spans="1:9" x14ac:dyDescent="0.25">
      <c r="A23" s="2" t="s">
        <v>32</v>
      </c>
      <c r="B23" s="3">
        <v>997.375</v>
      </c>
      <c r="C23" s="4">
        <v>3.5201793721972985</v>
      </c>
      <c r="D23" s="5">
        <v>46034</v>
      </c>
      <c r="E23" s="6">
        <v>9.875</v>
      </c>
      <c r="F23" s="6">
        <v>10.71</v>
      </c>
      <c r="G23" s="7">
        <v>8.4556962025316595E-2</v>
      </c>
      <c r="H23" s="8">
        <v>1.749251172312749E-3</v>
      </c>
      <c r="I23" s="9">
        <v>0.55000000000000004</v>
      </c>
    </row>
    <row r="24" spans="1:9" x14ac:dyDescent="0.25">
      <c r="A24" s="2" t="s">
        <v>33</v>
      </c>
      <c r="B24" s="3">
        <v>1011.6299999999999</v>
      </c>
      <c r="C24" s="4">
        <v>2.940476190476204</v>
      </c>
      <c r="D24" s="5">
        <v>46029</v>
      </c>
      <c r="E24" s="6">
        <v>337.21</v>
      </c>
      <c r="F24" s="6">
        <v>367.38</v>
      </c>
      <c r="G24" s="7">
        <v>8.9469470063165524E-2</v>
      </c>
      <c r="H24" s="8">
        <v>5.2352858280799493E-3</v>
      </c>
      <c r="I24" s="9">
        <v>0.59</v>
      </c>
    </row>
    <row r="25" spans="1:9" x14ac:dyDescent="0.25">
      <c r="A25" s="2" t="s">
        <v>34</v>
      </c>
      <c r="B25" s="3">
        <v>946.14</v>
      </c>
      <c r="C25" s="4">
        <v>10.449852507374677</v>
      </c>
      <c r="D25" s="5">
        <v>46032</v>
      </c>
      <c r="E25" s="6">
        <v>315.38</v>
      </c>
      <c r="F25" s="6">
        <v>343.75</v>
      </c>
      <c r="G25" s="7">
        <v>8.9954974950853028E-2</v>
      </c>
      <c r="H25" s="8">
        <v>9.9568363023864841E-3</v>
      </c>
      <c r="I25" s="9">
        <v>0.54</v>
      </c>
    </row>
    <row r="26" spans="1:9" x14ac:dyDescent="0.25">
      <c r="A26" s="2" t="s">
        <v>35</v>
      </c>
      <c r="B26" s="3">
        <v>1004.75</v>
      </c>
      <c r="C26" s="4">
        <v>2.6932907348242874</v>
      </c>
      <c r="D26" s="5">
        <v>46033</v>
      </c>
      <c r="E26" s="6">
        <v>200.95</v>
      </c>
      <c r="F26" s="6">
        <v>219.39</v>
      </c>
      <c r="G26" s="7">
        <v>9.1764120427967111E-2</v>
      </c>
      <c r="H26" s="8">
        <v>1.0871371314664247E-2</v>
      </c>
      <c r="I26" s="9">
        <v>0.54</v>
      </c>
    </row>
    <row r="27" spans="1:9" x14ac:dyDescent="0.25">
      <c r="A27" s="2" t="s">
        <v>36</v>
      </c>
      <c r="B27" s="3">
        <v>1099.644</v>
      </c>
      <c r="C27" s="4">
        <v>2.4312267657992548</v>
      </c>
      <c r="D27" s="5">
        <v>46033</v>
      </c>
      <c r="E27" s="6">
        <v>9.6460000000000008</v>
      </c>
      <c r="F27" s="6">
        <v>10.54</v>
      </c>
      <c r="G27" s="7">
        <v>9.2680904001658515E-2</v>
      </c>
      <c r="H27" s="8">
        <v>4.4423401911960481E-3</v>
      </c>
      <c r="I27" s="9">
        <v>0.55000000000000004</v>
      </c>
    </row>
    <row r="28" spans="1:9" x14ac:dyDescent="0.25">
      <c r="A28" s="2" t="s">
        <v>37</v>
      </c>
      <c r="B28" s="3">
        <v>1070.72</v>
      </c>
      <c r="C28" s="4">
        <v>3.6976744186046533</v>
      </c>
      <c r="D28" s="5">
        <v>46033</v>
      </c>
      <c r="E28" s="6">
        <v>19.12</v>
      </c>
      <c r="F28" s="6">
        <v>20.95</v>
      </c>
      <c r="G28" s="7">
        <v>9.5711297071129575E-2</v>
      </c>
      <c r="H28" s="8">
        <v>2.9160004895129044E-3</v>
      </c>
      <c r="I28" s="9">
        <v>0.55000000000000004</v>
      </c>
    </row>
    <row r="29" spans="1:9" x14ac:dyDescent="0.25">
      <c r="A29" s="2" t="s">
        <v>38</v>
      </c>
      <c r="B29" s="3">
        <v>1018.9</v>
      </c>
      <c r="C29" s="4">
        <v>5.6734693877551221</v>
      </c>
      <c r="D29" s="5">
        <v>46032</v>
      </c>
      <c r="E29" s="6">
        <v>44.3</v>
      </c>
      <c r="F29" s="6">
        <v>48.73</v>
      </c>
      <c r="G29" s="7">
        <v>0.10000000000000009</v>
      </c>
      <c r="H29" s="8">
        <v>2.7506529127017789E-3</v>
      </c>
      <c r="I29" s="9">
        <v>0.54</v>
      </c>
    </row>
    <row r="30" spans="1:9" x14ac:dyDescent="0.25">
      <c r="A30" s="2" t="s">
        <v>39</v>
      </c>
      <c r="B30" s="3">
        <v>995.17000000000007</v>
      </c>
      <c r="C30" s="4">
        <v>3.1724137931034377</v>
      </c>
      <c r="D30" s="5">
        <v>46029</v>
      </c>
      <c r="E30" s="6">
        <v>11.99</v>
      </c>
      <c r="F30" s="6">
        <v>13.25</v>
      </c>
      <c r="G30" s="7">
        <v>0.10508757297748117</v>
      </c>
      <c r="H30" s="8">
        <v>8.6340443823227362E-4</v>
      </c>
      <c r="I30" s="9">
        <v>0.54</v>
      </c>
    </row>
    <row r="31" spans="1:9" x14ac:dyDescent="0.25">
      <c r="A31" s="2" t="s">
        <v>40</v>
      </c>
      <c r="B31" s="3">
        <v>920</v>
      </c>
      <c r="C31" s="4">
        <v>2.25</v>
      </c>
      <c r="D31" s="5">
        <v>46024</v>
      </c>
      <c r="E31" s="6">
        <v>1150</v>
      </c>
      <c r="F31" s="6">
        <v>1285.5</v>
      </c>
      <c r="G31" s="7">
        <v>0.11782608695652175</v>
      </c>
      <c r="H31" s="8">
        <v>-1.4693410519246886E-3</v>
      </c>
      <c r="I31" s="9" t="e">
        <v>#N/A</v>
      </c>
    </row>
    <row r="32" spans="1:9" x14ac:dyDescent="0.25">
      <c r="A32" s="2" t="s">
        <v>41</v>
      </c>
      <c r="B32" s="3">
        <v>1179.8999999999999</v>
      </c>
      <c r="C32" s="4">
        <v>1.7125984251968516</v>
      </c>
      <c r="D32" s="5">
        <v>46033</v>
      </c>
      <c r="E32" s="6">
        <v>51.3</v>
      </c>
      <c r="F32" s="6">
        <v>58.25</v>
      </c>
      <c r="G32" s="7">
        <v>0.13547758284600397</v>
      </c>
      <c r="H32" s="8">
        <v>-3.0110565986155358E-3</v>
      </c>
      <c r="I32" s="9">
        <v>0.5</v>
      </c>
    </row>
    <row r="33" spans="1:9" x14ac:dyDescent="0.25">
      <c r="A33" s="2" t="s">
        <v>42</v>
      </c>
      <c r="B33" s="3">
        <v>1010.4</v>
      </c>
      <c r="C33" s="4">
        <v>1.9833333333333318</v>
      </c>
      <c r="D33" s="5">
        <v>46032</v>
      </c>
      <c r="E33" s="6">
        <v>63.15</v>
      </c>
      <c r="F33" s="6">
        <v>72.2</v>
      </c>
      <c r="G33" s="7">
        <v>0.14330958036421237</v>
      </c>
      <c r="H33" s="8">
        <v>8.7559970618566133E-3</v>
      </c>
      <c r="I33" s="9">
        <v>0.5</v>
      </c>
    </row>
    <row r="34" spans="1:9" x14ac:dyDescent="0.25">
      <c r="A34" s="2" t="s">
        <v>43</v>
      </c>
      <c r="B34" s="3">
        <v>1162.52</v>
      </c>
      <c r="C34" s="4">
        <v>1.7112526539278106</v>
      </c>
      <c r="D34" s="5">
        <v>46030</v>
      </c>
      <c r="E34" s="6">
        <v>581.26</v>
      </c>
      <c r="F34" s="6">
        <v>666.9</v>
      </c>
      <c r="G34" s="7">
        <v>0.14733509961118951</v>
      </c>
      <c r="H34" s="8">
        <v>1.158118200038798E-2</v>
      </c>
      <c r="I34" s="9">
        <v>0.59</v>
      </c>
    </row>
    <row r="35" spans="1:9" x14ac:dyDescent="0.25">
      <c r="A35" s="2" t="s">
        <v>44</v>
      </c>
      <c r="B35" s="3">
        <v>1115.8</v>
      </c>
      <c r="C35" s="4">
        <v>2.9999999999999867</v>
      </c>
      <c r="D35" s="5">
        <v>46033</v>
      </c>
      <c r="E35" s="6">
        <v>79.7</v>
      </c>
      <c r="F35" s="6">
        <v>91.5</v>
      </c>
      <c r="G35" s="7">
        <v>0.14805520702634878</v>
      </c>
      <c r="H35" s="8">
        <v>1.7324514068646567E-2</v>
      </c>
      <c r="I35" s="9">
        <v>0.5</v>
      </c>
    </row>
    <row r="36" spans="1:9" x14ac:dyDescent="0.25">
      <c r="A36" s="2" t="s">
        <v>45</v>
      </c>
      <c r="B36" s="3">
        <v>1075</v>
      </c>
      <c r="C36" s="4">
        <v>1.1200000000000001</v>
      </c>
      <c r="D36" s="5">
        <v>46013</v>
      </c>
      <c r="E36" s="6">
        <v>215</v>
      </c>
      <c r="F36" s="6">
        <v>247.68</v>
      </c>
      <c r="G36" s="7">
        <v>0.15200000000000014</v>
      </c>
      <c r="H36" s="8">
        <v>8.6710969055996175E-3</v>
      </c>
      <c r="I36" s="9">
        <v>0.56000000000000005</v>
      </c>
    </row>
    <row r="37" spans="1:9" x14ac:dyDescent="0.25">
      <c r="A37" s="2" t="s">
        <v>46</v>
      </c>
      <c r="B37" s="3">
        <v>1079.8700000000001</v>
      </c>
      <c r="C37" s="4">
        <v>1.8625730994152028</v>
      </c>
      <c r="D37" s="5">
        <v>46033</v>
      </c>
      <c r="E37" s="6">
        <v>98.17</v>
      </c>
      <c r="F37" s="6">
        <v>113.41</v>
      </c>
      <c r="G37" s="7">
        <v>0.15524090862789031</v>
      </c>
      <c r="H37" s="8">
        <v>-9.0610518233393835E-4</v>
      </c>
      <c r="I37" s="9">
        <v>0.5</v>
      </c>
    </row>
    <row r="38" spans="1:9" x14ac:dyDescent="0.25">
      <c r="A38" s="2" t="s">
        <v>47</v>
      </c>
      <c r="B38" s="3">
        <v>898.14</v>
      </c>
      <c r="C38" s="4">
        <v>1.9595375722543311</v>
      </c>
      <c r="D38" s="5">
        <v>46026</v>
      </c>
      <c r="E38" s="6">
        <v>299.38</v>
      </c>
      <c r="F38" s="6">
        <v>346.46</v>
      </c>
      <c r="G38" s="7">
        <v>0.15725833389003929</v>
      </c>
      <c r="H38" s="8">
        <v>4.3412039065711117E-3</v>
      </c>
      <c r="I38" s="9">
        <v>0.56000000000000005</v>
      </c>
    </row>
    <row r="39" spans="1:9" x14ac:dyDescent="0.25">
      <c r="A39" s="2" t="s">
        <v>48</v>
      </c>
      <c r="B39" s="3">
        <v>1004.3439999999999</v>
      </c>
      <c r="C39" s="4">
        <v>2.1453744493392044</v>
      </c>
      <c r="D39" s="5">
        <v>46024</v>
      </c>
      <c r="E39" s="6">
        <v>8.8879999999999999</v>
      </c>
      <c r="F39" s="6">
        <v>10.32</v>
      </c>
      <c r="G39" s="7">
        <v>0.16111611161116124</v>
      </c>
      <c r="H39" s="8">
        <v>-6.0906005645834146E-3</v>
      </c>
      <c r="I39" s="9" t="e">
        <v>#N/A</v>
      </c>
    </row>
    <row r="40" spans="1:9" x14ac:dyDescent="0.25">
      <c r="A40" s="2" t="s">
        <v>49</v>
      </c>
      <c r="B40" s="3">
        <v>1014.7199999999999</v>
      </c>
      <c r="C40" s="4">
        <v>2.7435897435897409</v>
      </c>
      <c r="D40" s="5">
        <v>46033</v>
      </c>
      <c r="E40" s="6">
        <v>2.4159999999999999</v>
      </c>
      <c r="F40" s="6">
        <v>2.83</v>
      </c>
      <c r="G40" s="7">
        <v>0.17135761589403975</v>
      </c>
      <c r="H40" s="8">
        <v>-1.4388725280804881E-2</v>
      </c>
      <c r="I40" s="9">
        <v>0.5</v>
      </c>
    </row>
    <row r="41" spans="1:9" x14ac:dyDescent="0.25">
      <c r="A41" s="2" t="s">
        <v>50</v>
      </c>
      <c r="B41" s="3">
        <v>1611.5</v>
      </c>
      <c r="C41" s="4">
        <v>1.6822157434402332</v>
      </c>
      <c r="D41" s="5">
        <v>46034</v>
      </c>
      <c r="E41" s="6">
        <v>1611.5</v>
      </c>
      <c r="F41" s="6">
        <v>1906.5</v>
      </c>
      <c r="G41" s="7">
        <v>0.18305926155755503</v>
      </c>
      <c r="H41" s="8">
        <v>1.279144422705536E-3</v>
      </c>
      <c r="I41" s="9" t="e">
        <v>#N/A</v>
      </c>
    </row>
    <row r="42" spans="1:9" x14ac:dyDescent="0.25">
      <c r="A42" s="2" t="s">
        <v>51</v>
      </c>
      <c r="B42" s="3">
        <v>985.2</v>
      </c>
      <c r="C42" s="4">
        <v>4.3800904977375499</v>
      </c>
      <c r="D42" s="5">
        <v>46034</v>
      </c>
      <c r="E42" s="6">
        <v>985.2</v>
      </c>
      <c r="F42" s="6">
        <v>1167.2</v>
      </c>
      <c r="G42" s="7">
        <v>0.18473406414941129</v>
      </c>
      <c r="H42" s="8">
        <v>-1.421321329085048E-2</v>
      </c>
      <c r="I42" s="9">
        <v>0.61</v>
      </c>
    </row>
    <row r="43" spans="1:9" x14ac:dyDescent="0.25">
      <c r="A43" s="2" t="s">
        <v>52</v>
      </c>
      <c r="B43" s="3">
        <v>988.6</v>
      </c>
      <c r="C43" s="4">
        <v>1.9142857142857128</v>
      </c>
      <c r="D43" s="5">
        <v>46029</v>
      </c>
      <c r="E43" s="6">
        <v>49.43</v>
      </c>
      <c r="F43" s="6">
        <v>58.88</v>
      </c>
      <c r="G43" s="7">
        <v>0.19117944568076073</v>
      </c>
      <c r="H43" s="8">
        <v>-1.6911348010178128E-3</v>
      </c>
      <c r="I43" s="9">
        <v>0.56000000000000005</v>
      </c>
    </row>
    <row r="44" spans="1:9" x14ac:dyDescent="0.25">
      <c r="A44" s="2" t="s">
        <v>53</v>
      </c>
      <c r="B44" s="3">
        <v>998.2</v>
      </c>
      <c r="C44" s="4">
        <v>3.5319148936170173</v>
      </c>
      <c r="D44" s="5">
        <v>46024</v>
      </c>
      <c r="E44" s="6">
        <v>32.200000000000003</v>
      </c>
      <c r="F44" s="6">
        <v>38.450000000000003</v>
      </c>
      <c r="G44" s="7">
        <v>0.19409937888198758</v>
      </c>
      <c r="H44" s="8">
        <v>1.0826363565578956E-2</v>
      </c>
      <c r="I44" s="9">
        <v>0.48</v>
      </c>
    </row>
    <row r="45" spans="1:9" x14ac:dyDescent="0.25">
      <c r="A45" s="2" t="s">
        <v>54</v>
      </c>
      <c r="B45" s="3">
        <v>980.87999999999988</v>
      </c>
      <c r="C45" s="4">
        <v>3.5319148936170213</v>
      </c>
      <c r="D45" s="5">
        <v>46036</v>
      </c>
      <c r="E45" s="6">
        <v>81.739999999999995</v>
      </c>
      <c r="F45" s="6">
        <v>105.08</v>
      </c>
      <c r="G45" s="7">
        <v>0.2855395155370688</v>
      </c>
      <c r="H45" s="8">
        <v>1.4464959666863097E-2</v>
      </c>
      <c r="I45" s="9" t="e">
        <v>#N/A</v>
      </c>
    </row>
    <row r="46" spans="1:9" x14ac:dyDescent="0.25">
      <c r="A46" s="2" t="s">
        <v>55</v>
      </c>
      <c r="B46" s="3">
        <v>905.02</v>
      </c>
      <c r="C46" s="4">
        <v>5.5146471371504751</v>
      </c>
      <c r="D46" s="5">
        <v>46032</v>
      </c>
      <c r="E46" s="6">
        <v>452.51</v>
      </c>
      <c r="F46" s="6">
        <v>582.42999999999995</v>
      </c>
      <c r="G46" s="7">
        <v>0.28710967713420699</v>
      </c>
      <c r="H46" s="8">
        <v>1.4697369960815321E-2</v>
      </c>
      <c r="I46" s="9">
        <v>0.59</v>
      </c>
    </row>
    <row r="47" spans="1:9" x14ac:dyDescent="0.25">
      <c r="A47" s="2" t="s">
        <v>56</v>
      </c>
      <c r="B47" s="3">
        <v>990</v>
      </c>
      <c r="C47" s="4">
        <v>1.8633540372670825</v>
      </c>
      <c r="D47" s="5">
        <v>46024</v>
      </c>
      <c r="E47" s="6">
        <v>330</v>
      </c>
      <c r="F47" s="6">
        <v>425.9</v>
      </c>
      <c r="G47" s="7">
        <v>0.29060606060606053</v>
      </c>
      <c r="H47" s="8">
        <v>1.6767638003747011E-2</v>
      </c>
      <c r="I47" s="9">
        <v>0.56000000000000005</v>
      </c>
    </row>
    <row r="48" spans="1:9" x14ac:dyDescent="0.25">
      <c r="A48" s="2" t="s">
        <v>57</v>
      </c>
      <c r="B48" s="3">
        <v>10138.4</v>
      </c>
      <c r="C48" s="4">
        <v>3.1220930232558017</v>
      </c>
      <c r="D48" s="5">
        <v>46026</v>
      </c>
      <c r="E48" s="6">
        <v>533.6</v>
      </c>
      <c r="F48" s="6">
        <v>707.8</v>
      </c>
      <c r="G48" s="7">
        <v>0.32646176911544211</v>
      </c>
      <c r="H48" s="8">
        <v>3.4804448420497681E-3</v>
      </c>
      <c r="I48" s="9">
        <v>0.56000000000000005</v>
      </c>
    </row>
    <row r="49" spans="1:9" x14ac:dyDescent="0.25">
      <c r="A49" s="2" t="s">
        <v>58</v>
      </c>
      <c r="B49" s="3">
        <v>1024.5899999999999</v>
      </c>
      <c r="C49" s="4">
        <v>4.1585365853658525</v>
      </c>
      <c r="D49" s="5">
        <v>46033</v>
      </c>
      <c r="E49" s="6">
        <v>20.09</v>
      </c>
      <c r="F49" s="6">
        <v>28.1</v>
      </c>
      <c r="G49" s="7">
        <v>0.39870582379293196</v>
      </c>
      <c r="H49" s="8">
        <v>-1.7927250970694475E-3</v>
      </c>
      <c r="I49" s="9">
        <v>0.5</v>
      </c>
    </row>
    <row r="50" spans="1:9" x14ac:dyDescent="0.25">
      <c r="A50" s="2" t="s">
        <v>59</v>
      </c>
      <c r="B50" s="3">
        <v>56765.814999999995</v>
      </c>
      <c r="C50" s="4">
        <v>3.1523046756253703</v>
      </c>
      <c r="D50" s="5">
        <v>46029.869565217392</v>
      </c>
      <c r="E50" s="6">
        <v>356.29462608695661</v>
      </c>
      <c r="F50" s="6">
        <v>398.57152173913028</v>
      </c>
      <c r="G50" s="7">
        <v>0.1153305090451936</v>
      </c>
      <c r="H50" s="8">
        <v>2.3153701125778292E-3</v>
      </c>
      <c r="I50" s="9" t="e">
        <v>#N/A</v>
      </c>
    </row>
  </sheetData>
  <conditionalFormatting pivot="1" sqref="D4:D5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17 H12 H36 H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12:G13 G8 G17 G23:G24 G30 G36:G37 G41 G44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I12:I13 I8 I17 I23:I24 I30 I36:I37 I41 I44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I12:I13 I8 I17 I23:I24 I30 I36:I37 I41 I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</vt:i4>
      </vt:variant>
    </vt:vector>
  </HeadingPairs>
  <TitlesOfParts>
    <vt:vector size="19" baseType="lpstr">
      <vt:lpstr>Trading Ops</vt:lpstr>
      <vt:lpstr>Input</vt:lpstr>
      <vt:lpstr>Swing_Trading_TradingView</vt:lpstr>
      <vt:lpstr>tabla1</vt:lpstr>
      <vt:lpstr>Swing_82_PE_SL_TP</vt:lpstr>
      <vt:lpstr>Ranking Semanal</vt:lpstr>
      <vt:lpstr>Incoming</vt:lpstr>
      <vt:lpstr>Close dating +</vt:lpstr>
      <vt:lpstr>Close dating - (2)</vt:lpstr>
      <vt:lpstr>Close dating -</vt:lpstr>
      <vt:lpstr>Close All (2)</vt:lpstr>
      <vt:lpstr>Close All</vt:lpstr>
      <vt:lpstr>Close +</vt:lpstr>
      <vt:lpstr>Close -</vt:lpstr>
      <vt:lpstr>Open</vt:lpstr>
      <vt:lpstr>Close dating + (2)</vt:lpstr>
      <vt:lpstr>Plan</vt:lpstr>
      <vt:lpstr>'Ranking Semanal'!Área_de_impresión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Pérez de Ayala</dc:creator>
  <cp:lastModifiedBy>Pedro Pérez de Ayala</cp:lastModifiedBy>
  <dcterms:created xsi:type="dcterms:W3CDTF">2026-01-17T18:20:15Z</dcterms:created>
  <dcterms:modified xsi:type="dcterms:W3CDTF">2026-01-17T18:24:33Z</dcterms:modified>
</cp:coreProperties>
</file>